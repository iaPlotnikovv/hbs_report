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66925"/>
  <xr:revisionPtr revIDLastSave="0" documentId="8_{607262EB-9E88-47AF-AD2D-54A9C64467C8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HBS_AMOS" sheetId="1" r:id="rId1"/>
    <sheet name="HBS_Distribution" sheetId="2" r:id="rId2"/>
  </sheets>
  <definedNames>
    <definedName name="_xlnm._FilterDatabase" localSheetId="0" hidden="1">HBS_AMOS!$A$2:$AA$914</definedName>
    <definedName name="JR_PAGE_ANCHOR_0_1">HBS_AMOS!$A$1</definedName>
    <definedName name="JR_PAGE_ANCHOR_0_2">HBS_Distribution!$A$1</definedName>
  </definedNames>
  <calcPr calcId="191029"/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3" i="1"/>
</calcChain>
</file>

<file path=xl/sharedStrings.xml><?xml version="1.0" encoding="utf-8"?>
<sst xmlns="http://schemas.openxmlformats.org/spreadsheetml/2006/main" count="6885" uniqueCount="2365">
  <si>
    <t>Amos HBS</t>
  </si>
  <si>
    <t>АТА</t>
  </si>
  <si>
    <t>p/n</t>
  </si>
  <si>
    <t>description</t>
  </si>
  <si>
    <t>Mat Class/ Type</t>
  </si>
  <si>
    <t>FA Type</t>
  </si>
  <si>
    <t>MEL</t>
  </si>
  <si>
    <t>Идеальное количеств</t>
  </si>
  <si>
    <t>К восполнению</t>
  </si>
  <si>
    <t>SERVICEABLE</t>
  </si>
  <si>
    <t>QUARANTINE</t>
  </si>
  <si>
    <t>SCRAP</t>
  </si>
  <si>
    <t>Temporary</t>
  </si>
  <si>
    <t>UNSERVICEABLE</t>
  </si>
  <si>
    <t>REPAIR</t>
  </si>
  <si>
    <t>Order Qty</t>
  </si>
  <si>
    <t>Выдача на ВС за 1 месяц</t>
  </si>
  <si>
    <t>Выдача на ВС за 1 год</t>
  </si>
  <si>
    <t>Cost (Last PO)</t>
  </si>
  <si>
    <t>34-11</t>
  </si>
  <si>
    <t>0102ME2GE</t>
  </si>
  <si>
    <t>SENSOR-TAT</t>
  </si>
  <si>
    <t>RP</t>
  </si>
  <si>
    <t>A32S</t>
  </si>
  <si>
    <t>25-65</t>
  </si>
  <si>
    <t>01N65900</t>
  </si>
  <si>
    <t>ELT-EMERGENCY LOCATOR TRANSMITTER</t>
  </si>
  <si>
    <t>23-51</t>
  </si>
  <si>
    <t>046-55-999-0131</t>
  </si>
  <si>
    <t>BOOMSET</t>
  </si>
  <si>
    <t>CP</t>
  </si>
  <si>
    <t>46</t>
  </si>
  <si>
    <t>0621-01-A-5401EPA</t>
  </si>
  <si>
    <t>BALLMOUNT ASSY LEFT</t>
  </si>
  <si>
    <t>0621-01-A-5402EPA</t>
  </si>
  <si>
    <t>BALLMOUNT ASSY RIGHT</t>
  </si>
  <si>
    <t>23-12</t>
  </si>
  <si>
    <t>064-50000-2051</t>
  </si>
  <si>
    <t>TRANSCEIVER-VHF</t>
  </si>
  <si>
    <t>27-51</t>
  </si>
  <si>
    <t>065-50001-0200</t>
  </si>
  <si>
    <t>CSU-COMMAND SENSOR UNIT</t>
  </si>
  <si>
    <t>34-00</t>
  </si>
  <si>
    <t>066-01212-0101</t>
  </si>
  <si>
    <t>ATC TRANSPONDER</t>
  </si>
  <si>
    <t>34</t>
  </si>
  <si>
    <t>066-50007-0432</t>
  </si>
  <si>
    <t>TRANSCEIVER RA</t>
  </si>
  <si>
    <t>34-41</t>
  </si>
  <si>
    <t>066-50008-0409</t>
  </si>
  <si>
    <t>WXR TRANSCEIVER</t>
  </si>
  <si>
    <t>34-55</t>
  </si>
  <si>
    <t>066-50012-0212</t>
  </si>
  <si>
    <t>RECEIVER-VOR, MKR</t>
  </si>
  <si>
    <t>066-50013-0202</t>
  </si>
  <si>
    <t>INTERROGATOR-DME</t>
  </si>
  <si>
    <t>34-53</t>
  </si>
  <si>
    <t>066-50014-0202</t>
  </si>
  <si>
    <t>RECEIVER-ADF</t>
  </si>
  <si>
    <t>34-43</t>
  </si>
  <si>
    <t>071-50001-8104</t>
  </si>
  <si>
    <t>ANTENNA-TCAS</t>
  </si>
  <si>
    <t>071-50026-0400</t>
  </si>
  <si>
    <t>ANTENNA</t>
  </si>
  <si>
    <t>28</t>
  </si>
  <si>
    <t>0725145</t>
  </si>
  <si>
    <t>ELEMENT ASSY</t>
  </si>
  <si>
    <t>0851MC</t>
  </si>
  <si>
    <t>PROBE-PITOT</t>
  </si>
  <si>
    <t>30-81</t>
  </si>
  <si>
    <t>0871DP5-1</t>
  </si>
  <si>
    <t>DETECTOR-ICE</t>
  </si>
  <si>
    <t>32-44</t>
  </si>
  <si>
    <t>088256-04644</t>
  </si>
  <si>
    <t>ACCUMULATOR-BRAKE</t>
  </si>
  <si>
    <t>38-12</t>
  </si>
  <si>
    <t>10010979</t>
  </si>
  <si>
    <t>FUNCTIONAL PART</t>
  </si>
  <si>
    <t>25-18</t>
  </si>
  <si>
    <t>1-002-0102-1830</t>
  </si>
  <si>
    <t>INVERTER-STATIC</t>
  </si>
  <si>
    <t>10087-0102</t>
  </si>
  <si>
    <t>INDICATOR-FUEL,QUANTITY</t>
  </si>
  <si>
    <t>10088-0102</t>
  </si>
  <si>
    <t>PRESELECTOR</t>
  </si>
  <si>
    <t>38-31</t>
  </si>
  <si>
    <t>10101000CK</t>
  </si>
  <si>
    <t>VALVE ASSY-WASTE DRAIN</t>
  </si>
  <si>
    <t>73-11</t>
  </si>
  <si>
    <t>1015200-6</t>
  </si>
  <si>
    <t>PUMP-FUEL CONTROL, MAIN</t>
  </si>
  <si>
    <t>A32N</t>
  </si>
  <si>
    <t>28-25</t>
  </si>
  <si>
    <t>10170-0202</t>
  </si>
  <si>
    <t>INDICATOR-FUEL, MULTITANK</t>
  </si>
  <si>
    <t>10173-0202</t>
  </si>
  <si>
    <t>79-33</t>
  </si>
  <si>
    <t>1018277</t>
  </si>
  <si>
    <t>SENSOR-PRESSURE, OIL</t>
  </si>
  <si>
    <t>74-21</t>
  </si>
  <si>
    <t>1018328</t>
  </si>
  <si>
    <t>IGNITER PLUG-GAS TURBINE ENGINE</t>
  </si>
  <si>
    <t>79-32</t>
  </si>
  <si>
    <t>102-00090</t>
  </si>
  <si>
    <t>SENSOR-OIL TEMPERATURE</t>
  </si>
  <si>
    <t>77-11</t>
  </si>
  <si>
    <t>1020891-2</t>
  </si>
  <si>
    <t>PROBE-SPEED, N1</t>
  </si>
  <si>
    <t>1020900-1</t>
  </si>
  <si>
    <t>PROBE-SPEED, N2</t>
  </si>
  <si>
    <t>74-11</t>
  </si>
  <si>
    <t>1020901-2</t>
  </si>
  <si>
    <t>EXCITER-IGNITION</t>
  </si>
  <si>
    <t>1020902-1</t>
  </si>
  <si>
    <t>CABLE-EXCITER TO IGNITER PLUG</t>
  </si>
  <si>
    <t>77-21</t>
  </si>
  <si>
    <t>1020911-1</t>
  </si>
  <si>
    <t>PROBE-TEMPERATURE, EXHAUST GAS, ASSY</t>
  </si>
  <si>
    <t>75-26</t>
  </si>
  <si>
    <t>1020923-1</t>
  </si>
  <si>
    <t>VALVE-AIR, LPC, BUFFER AIR</t>
  </si>
  <si>
    <t>75-32</t>
  </si>
  <si>
    <t>1020929-1</t>
  </si>
  <si>
    <t>ACTUATOR-LPC, BLEED VANE ACTUATION</t>
  </si>
  <si>
    <t>79-21</t>
  </si>
  <si>
    <t>1020934-2</t>
  </si>
  <si>
    <t>COOLER-AIR, OIL</t>
  </si>
  <si>
    <t>80-11</t>
  </si>
  <si>
    <t>1021498-3</t>
  </si>
  <si>
    <t>VALVE-AIR, ENGINE STARTER</t>
  </si>
  <si>
    <t>1022124-5</t>
  </si>
  <si>
    <t>FILTER-FUEL, ASSEMBLY</t>
  </si>
  <si>
    <t>73-34</t>
  </si>
  <si>
    <t>1022281</t>
  </si>
  <si>
    <t>SENSOR, PRESSURE, AC GENERATOR</t>
  </si>
  <si>
    <t>1024619</t>
  </si>
  <si>
    <t>SENSOR-AIR PRESSURE</t>
  </si>
  <si>
    <t>1025044-2</t>
  </si>
  <si>
    <t>VALVE-HPC BLEED</t>
  </si>
  <si>
    <t>1029816-1</t>
  </si>
  <si>
    <t>SOLENOID ASSEMBLY</t>
  </si>
  <si>
    <t>102EH2EB</t>
  </si>
  <si>
    <t>34-21</t>
  </si>
  <si>
    <t>102LA2AG</t>
  </si>
  <si>
    <t>PROBE-TOTAL AIR TEMP</t>
  </si>
  <si>
    <t>MANY</t>
  </si>
  <si>
    <t>Y</t>
  </si>
  <si>
    <t>32-21</t>
  </si>
  <si>
    <t>10-376501-000</t>
  </si>
  <si>
    <t>SLEEVE-AXLE, NLG</t>
  </si>
  <si>
    <t>10-376701-000</t>
  </si>
  <si>
    <t>LOCK SPRING</t>
  </si>
  <si>
    <t>32-31</t>
  </si>
  <si>
    <t>10-451701-000</t>
  </si>
  <si>
    <t>MLG RETRACTION ACTUATOR</t>
  </si>
  <si>
    <t>49-16</t>
  </si>
  <si>
    <t>106-1-1100-03</t>
  </si>
  <si>
    <t>ACTUATOR</t>
  </si>
  <si>
    <t>10-631045-3</t>
  </si>
  <si>
    <t>EXCITER, IGNITION UNIT</t>
  </si>
  <si>
    <t>36-11</t>
  </si>
  <si>
    <t>1-1-09-0782</t>
  </si>
  <si>
    <t>TUBE-HP BLEED VALVE</t>
  </si>
  <si>
    <t>114079018</t>
  </si>
  <si>
    <t>VALVE-SELECTOR, DOOR</t>
  </si>
  <si>
    <t>114079019</t>
  </si>
  <si>
    <t>SELECTOR-GEAR, ELECTRO-HYDRAULIC</t>
  </si>
  <si>
    <t>114087010</t>
  </si>
  <si>
    <t>VALVE-BYPASS, DOOR</t>
  </si>
  <si>
    <t>114122014</t>
  </si>
  <si>
    <t>ACTUATOR-DOOR, MLG</t>
  </si>
  <si>
    <t>32</t>
  </si>
  <si>
    <t>114122015</t>
  </si>
  <si>
    <t>114170009</t>
  </si>
  <si>
    <t>MANIFOLD-ASSY, SELECTOR</t>
  </si>
  <si>
    <t>1152682-3</t>
  </si>
  <si>
    <t>EMERGENCY LOCATOR TRANSMITTER</t>
  </si>
  <si>
    <t>1153008-1</t>
  </si>
  <si>
    <t>PANEL-REMOTE CONTROL</t>
  </si>
  <si>
    <t>27-95</t>
  </si>
  <si>
    <t>115370-1318</t>
  </si>
  <si>
    <t>FLIGHT CONTROL DATA CONCENTRATOR</t>
  </si>
  <si>
    <t>115370-1521</t>
  </si>
  <si>
    <t>FCDC-FLIGHT CONTROL DATA CONCENTRATO</t>
  </si>
  <si>
    <t>1158000-45</t>
  </si>
  <si>
    <t>VALVE-REFUEL</t>
  </si>
  <si>
    <t>33-42</t>
  </si>
  <si>
    <t>117PE01Y00</t>
  </si>
  <si>
    <t>LIGHT-LANDING</t>
  </si>
  <si>
    <t>11-841193-4</t>
  </si>
  <si>
    <t>HEAT, EXCHANGER-OIL FUEL MAIN</t>
  </si>
  <si>
    <t>35-32</t>
  </si>
  <si>
    <t>119003-21</t>
  </si>
  <si>
    <t>PROTECTIVE BREATHING EQUIPMENT</t>
  </si>
  <si>
    <t>21-26</t>
  </si>
  <si>
    <t>1209-100</t>
  </si>
  <si>
    <t>SWITCH-PRESSURE</t>
  </si>
  <si>
    <t>26-12</t>
  </si>
  <si>
    <t>12134-00</t>
  </si>
  <si>
    <t>DETECTOR-FIRE, PYLON</t>
  </si>
  <si>
    <t>75-31</t>
  </si>
  <si>
    <t>121664-11</t>
  </si>
  <si>
    <t>VBV ACTUATOR-BALLSCREW</t>
  </si>
  <si>
    <t>121664-8</t>
  </si>
  <si>
    <t>ACTUATOR-BALLSCREW</t>
  </si>
  <si>
    <t>121666-14</t>
  </si>
  <si>
    <t>ACTUATOR-BALLSCREW MASTER, VBV</t>
  </si>
  <si>
    <t>121666-19</t>
  </si>
  <si>
    <t>ACTUATOR-BALLSCREW MASTER</t>
  </si>
  <si>
    <t>121762-3</t>
  </si>
  <si>
    <t>VBV SHAFT ASSY, MAIN</t>
  </si>
  <si>
    <t>121762-4</t>
  </si>
  <si>
    <t>VBV SHAFT, FLEXIBLE</t>
  </si>
  <si>
    <t>21-52</t>
  </si>
  <si>
    <t>1263A0000-03</t>
  </si>
  <si>
    <t>MACHINE-AIR CYCLE</t>
  </si>
  <si>
    <t>52-73</t>
  </si>
  <si>
    <t>1266-100</t>
  </si>
  <si>
    <t>SWITCH-DIFFERENTIAL PRESSURE</t>
  </si>
  <si>
    <t>21-63</t>
  </si>
  <si>
    <t>1298A0000-01</t>
  </si>
  <si>
    <t>VALVE-CHECK</t>
  </si>
  <si>
    <t>21-51</t>
  </si>
  <si>
    <t>1303A0000-04</t>
  </si>
  <si>
    <t>VALVE-PACK FLOW CONTROL</t>
  </si>
  <si>
    <t>21-61</t>
  </si>
  <si>
    <t>1312B0000-02</t>
  </si>
  <si>
    <t>VALVE-BYPASS</t>
  </si>
  <si>
    <t>1320A0000-02</t>
  </si>
  <si>
    <t>VALVE-TRIM AIR</t>
  </si>
  <si>
    <t>28-42</t>
  </si>
  <si>
    <t>1407KID02-03</t>
  </si>
  <si>
    <t>INDICATOR-FUEL, QUANTITY</t>
  </si>
  <si>
    <t>14320-030</t>
  </si>
  <si>
    <t>VALVE ASSY-DRAIN, WASTE TANK DRAIN</t>
  </si>
  <si>
    <t>14320-040</t>
  </si>
  <si>
    <t>14320-230-203</t>
  </si>
  <si>
    <t>VALVE ASSY</t>
  </si>
  <si>
    <t>14330-004C1</t>
  </si>
  <si>
    <t>TOILET ASSY</t>
  </si>
  <si>
    <t>14330-004C2</t>
  </si>
  <si>
    <t>14330-190</t>
  </si>
  <si>
    <t>CONTROL UNIT-FLUSH, TOILET</t>
  </si>
  <si>
    <t>14330-230</t>
  </si>
  <si>
    <t>VALVE ASSY, FLUSH</t>
  </si>
  <si>
    <t>38-32</t>
  </si>
  <si>
    <t>14330-375</t>
  </si>
  <si>
    <t>VACUUM GENERATOR</t>
  </si>
  <si>
    <t>14401-085</t>
  </si>
  <si>
    <t>SEPARATOR-WATER, WASTE TANK</t>
  </si>
  <si>
    <t>14403-003C</t>
  </si>
  <si>
    <t>TRANSMITTER-LEVEL, WASTE TANK</t>
  </si>
  <si>
    <t>14403-125</t>
  </si>
  <si>
    <t>SENSOR-LEVEL, WASTE TANK</t>
  </si>
  <si>
    <t>77-31</t>
  </si>
  <si>
    <t>144-405-000-033</t>
  </si>
  <si>
    <t>SENSOR, VIBRATION TURBINE</t>
  </si>
  <si>
    <t>35-21</t>
  </si>
  <si>
    <t>14C15L212170004</t>
  </si>
  <si>
    <t>CONTAINER ASSY-CHEMICAL OXYGEN</t>
  </si>
  <si>
    <t>14C15L215460009</t>
  </si>
  <si>
    <t>14C15L21D460009</t>
  </si>
  <si>
    <t>14C15R212170004</t>
  </si>
  <si>
    <t>14C15R215460009</t>
  </si>
  <si>
    <t>14C15R21D460009</t>
  </si>
  <si>
    <t>52-36</t>
  </si>
  <si>
    <t>1567A0000-01</t>
  </si>
  <si>
    <t>VALVE-MANUAL SELECTOR</t>
  </si>
  <si>
    <t>15800-348A</t>
  </si>
  <si>
    <t>VALVE ASSY-RINSE</t>
  </si>
  <si>
    <t>15800-440</t>
  </si>
  <si>
    <t>49-91</t>
  </si>
  <si>
    <t>160494-1</t>
  </si>
  <si>
    <t>COOLER-OIL, APU</t>
  </si>
  <si>
    <t>49-41</t>
  </si>
  <si>
    <t>160544-1</t>
  </si>
  <si>
    <t>IGNITER PLUG</t>
  </si>
  <si>
    <t>24-41</t>
  </si>
  <si>
    <t>1700667D</t>
  </si>
  <si>
    <t>GAPCU-GRND AUXILIARY PWR CNTRL UNIT</t>
  </si>
  <si>
    <t>24-21</t>
  </si>
  <si>
    <t>1708897</t>
  </si>
  <si>
    <t>INTEGRATED DRIVE GENERATOR</t>
  </si>
  <si>
    <t>1718201</t>
  </si>
  <si>
    <t>IDG-INTEGRATED DRIVE GENERATOR</t>
  </si>
  <si>
    <t>1721429C</t>
  </si>
  <si>
    <t>STARTER-ENGINE, AIR</t>
  </si>
  <si>
    <t>73-13</t>
  </si>
  <si>
    <t>17300G09</t>
  </si>
  <si>
    <t>FUEL DIVERT AND RETURN VALVE</t>
  </si>
  <si>
    <t>75-00</t>
  </si>
  <si>
    <t>1777MK2</t>
  </si>
  <si>
    <t>ACTUATOR MASTER LPC BLEED</t>
  </si>
  <si>
    <t>31-33</t>
  </si>
  <si>
    <t>17A717-03-00</t>
  </si>
  <si>
    <t>ACCELEROMETER</t>
  </si>
  <si>
    <t>1803B0000-05</t>
  </si>
  <si>
    <t>CONTROLLER-AIR CONDITIONING SYSTEM</t>
  </si>
  <si>
    <t>1806D0000-02</t>
  </si>
  <si>
    <t>VALVE ASSY-FLOW CONTROL</t>
  </si>
  <si>
    <t>1809A0000-01</t>
  </si>
  <si>
    <t>ACTUATOR-INLET</t>
  </si>
  <si>
    <t>18542</t>
  </si>
  <si>
    <t>VALVE-ANTI SIPHON</t>
  </si>
  <si>
    <t>1905A0000-01</t>
  </si>
  <si>
    <t>VALVE-SAFETY</t>
  </si>
  <si>
    <t>29-12</t>
  </si>
  <si>
    <t>190QA01</t>
  </si>
  <si>
    <t>TRANSFORMER CURRENT</t>
  </si>
  <si>
    <t>22-67</t>
  </si>
  <si>
    <t>196PN01Y02</t>
  </si>
  <si>
    <t>INDICATOR-RUDDER TRIM</t>
  </si>
  <si>
    <t>31-62</t>
  </si>
  <si>
    <t>1982660116</t>
  </si>
  <si>
    <t>DMC-DISPLAY MANAGEMENT COMPUTER</t>
  </si>
  <si>
    <t>33-21</t>
  </si>
  <si>
    <t>1J512-03600-000</t>
  </si>
  <si>
    <t>CLEDU</t>
  </si>
  <si>
    <t>1J519-11500-000</t>
  </si>
  <si>
    <t>1J519-12800-000</t>
  </si>
  <si>
    <t>CLEDU-CABIN LED UNIT</t>
  </si>
  <si>
    <t>1J519-13600-000</t>
  </si>
  <si>
    <t>1J519-14100-000</t>
  </si>
  <si>
    <t>27-54</t>
  </si>
  <si>
    <t>2000A1391K01</t>
  </si>
  <si>
    <t>MOTOR-HYDRAULIC, SLAT AND FLAP DRIVE</t>
  </si>
  <si>
    <t>200301E00000309</t>
  </si>
  <si>
    <t>SFCC-SLAT AND FLAP CONTROL COMPUTER</t>
  </si>
  <si>
    <t>200301E00000409</t>
  </si>
  <si>
    <t>32-11</t>
  </si>
  <si>
    <t>201371270</t>
  </si>
  <si>
    <t>SLIDING TUBE, ASSY</t>
  </si>
  <si>
    <t>201399200</t>
  </si>
  <si>
    <t>HARNESS-ELECTRICAL 1M</t>
  </si>
  <si>
    <t>201399201</t>
  </si>
  <si>
    <t>HARNESS, 1M</t>
  </si>
  <si>
    <t>201400200</t>
  </si>
  <si>
    <t>HARNESS 2M</t>
  </si>
  <si>
    <t>201400201</t>
  </si>
  <si>
    <t>HARNESS, 2M</t>
  </si>
  <si>
    <t>201419001-020</t>
  </si>
  <si>
    <t>DAMPER-TORQUE LINK, MLG</t>
  </si>
  <si>
    <t>20146-0101</t>
  </si>
  <si>
    <t>PROBE-FQIS</t>
  </si>
  <si>
    <t>20146-0102</t>
  </si>
  <si>
    <t>FUEL PROBE</t>
  </si>
  <si>
    <t>20146-0103</t>
  </si>
  <si>
    <t>20146-0104</t>
  </si>
  <si>
    <t>PROBE-FQIS, NO 9 AND 10</t>
  </si>
  <si>
    <t>20146-0105</t>
  </si>
  <si>
    <t>PROBE-FQIS, NO 8</t>
  </si>
  <si>
    <t>20146-0106</t>
  </si>
  <si>
    <t>PROBE-FQIS, NO 7</t>
  </si>
  <si>
    <t>20146-0107</t>
  </si>
  <si>
    <t>PROBE-FQIS, NO 4</t>
  </si>
  <si>
    <t>20146-0108</t>
  </si>
  <si>
    <t>PROBE-FQIS, NO 6</t>
  </si>
  <si>
    <t>20146-0109</t>
  </si>
  <si>
    <t>PROBE-FQIS, NO 3</t>
  </si>
  <si>
    <t>20146-0110</t>
  </si>
  <si>
    <t>PROBE-FQIS, NO 5</t>
  </si>
  <si>
    <t>201522267</t>
  </si>
  <si>
    <t>TUBE-SLIDING</t>
  </si>
  <si>
    <t>201587213</t>
  </si>
  <si>
    <t>LOWER BEARING</t>
  </si>
  <si>
    <t>201590004</t>
  </si>
  <si>
    <t>201655193</t>
  </si>
  <si>
    <t>LOCKSTAY ACTR HOSE, OUTBOARD</t>
  </si>
  <si>
    <t>201655194</t>
  </si>
  <si>
    <t>LOCKSTAY ACTR HOSE, INBOARD</t>
  </si>
  <si>
    <t>201655195</t>
  </si>
  <si>
    <t>201655196</t>
  </si>
  <si>
    <t>2041220-3231</t>
  </si>
  <si>
    <t>CONTROL UNIT-WEATHER RADAR</t>
  </si>
  <si>
    <t>2041444-0404</t>
  </si>
  <si>
    <t>DRIVE-WEATHER RADAR ANTENNA</t>
  </si>
  <si>
    <t>2041446-0401</t>
  </si>
  <si>
    <t>ANTENNA-WEATHER RADAR</t>
  </si>
  <si>
    <t>20499004</t>
  </si>
  <si>
    <t>FILTER-OZONE</t>
  </si>
  <si>
    <t>20499006</t>
  </si>
  <si>
    <t>2056C0000-01</t>
  </si>
  <si>
    <t>PACK CHAMBER-AIR PLENUM</t>
  </si>
  <si>
    <t>47-10</t>
  </si>
  <si>
    <t>2060017-103</t>
  </si>
  <si>
    <t>ASM-AIR SEPARATION MODULE</t>
  </si>
  <si>
    <t>28-29</t>
  </si>
  <si>
    <t>20700-300</t>
  </si>
  <si>
    <t>VALVE-APU LOW PRESSURE FUEL</t>
  </si>
  <si>
    <t>21-31</t>
  </si>
  <si>
    <t>20790-20BA</t>
  </si>
  <si>
    <t>VALVE-OUTFLOW</t>
  </si>
  <si>
    <t>25-61</t>
  </si>
  <si>
    <t>208724-0</t>
  </si>
  <si>
    <t>ROPE-EMERGENCY ESCAPE</t>
  </si>
  <si>
    <t>23-71</t>
  </si>
  <si>
    <t>2100-1026-02</t>
  </si>
  <si>
    <t>CVR-COCKPIT VOICE RECORDER</t>
  </si>
  <si>
    <t>2100-1228-02</t>
  </si>
  <si>
    <t>2100-4043-02</t>
  </si>
  <si>
    <t>SOLID STATE FLIGHT DATA RECORDER</t>
  </si>
  <si>
    <t>2100-4245-00</t>
  </si>
  <si>
    <t>SSFDR-SOLID STATE FLT DATA RECORDER</t>
  </si>
  <si>
    <t>215TS07Y00</t>
  </si>
  <si>
    <t>LEVER-CONTROL, LANDING GEAR</t>
  </si>
  <si>
    <t>36-00</t>
  </si>
  <si>
    <t>21V0020</t>
  </si>
  <si>
    <t>DOUBLE FLAP</t>
  </si>
  <si>
    <t>22715-000-02</t>
  </si>
  <si>
    <t>CYLINDER-ACTUATING, NLG DOOR</t>
  </si>
  <si>
    <t>2293B020000</t>
  </si>
  <si>
    <t>VALVE-CHECK, IP</t>
  </si>
  <si>
    <t>22C150120080004</t>
  </si>
  <si>
    <t>22C150150320004</t>
  </si>
  <si>
    <t>22C15L120100009</t>
  </si>
  <si>
    <t>CONTAINER ASSY-CHEMICAL OXYGEN, TWO</t>
  </si>
  <si>
    <t>22C15L150460100</t>
  </si>
  <si>
    <t>22G150150460400</t>
  </si>
  <si>
    <t>CONTAINER ASSY-DUGOX</t>
  </si>
  <si>
    <t>71-71</t>
  </si>
  <si>
    <t>238-0802-503</t>
  </si>
  <si>
    <t>ENGINE DRAIN MANIFOLD MODULE</t>
  </si>
  <si>
    <t>77-32</t>
  </si>
  <si>
    <t>241-246-022-004</t>
  </si>
  <si>
    <t>ENGINE VIBRATION MONITORING UNIT</t>
  </si>
  <si>
    <t>2438-89-00</t>
  </si>
  <si>
    <t>ANTENNA-VHF</t>
  </si>
  <si>
    <t>34-52</t>
  </si>
  <si>
    <t>2439-89-03</t>
  </si>
  <si>
    <t>ANTENNA-DME ATC</t>
  </si>
  <si>
    <t>24441-01AB</t>
  </si>
  <si>
    <t>CABIN PRESSURE CONTROLLER</t>
  </si>
  <si>
    <t>24E507009G03</t>
  </si>
  <si>
    <t>HEATER-WATER, LAVATORY</t>
  </si>
  <si>
    <t>79-11</t>
  </si>
  <si>
    <t>24P5016</t>
  </si>
  <si>
    <t>CAP ASSY-INDICATOR</t>
  </si>
  <si>
    <t>99-99</t>
  </si>
  <si>
    <t>25001A010001</t>
  </si>
  <si>
    <t>SENSOR</t>
  </si>
  <si>
    <t>25002A010001</t>
  </si>
  <si>
    <t>SENSOR-DELTA PRESSURE</t>
  </si>
  <si>
    <t>2607MK2</t>
  </si>
  <si>
    <t>ACTUATOR VARIABLE STATOR</t>
  </si>
  <si>
    <t>31-21</t>
  </si>
  <si>
    <t>2610-13-1</t>
  </si>
  <si>
    <t>CLOCK, COCKPIT</t>
  </si>
  <si>
    <t>266E5542-00</t>
  </si>
  <si>
    <t>UNDERWATER LOCATOR BEACON</t>
  </si>
  <si>
    <t>21-00</t>
  </si>
  <si>
    <t>2696A0000-01</t>
  </si>
  <si>
    <t>SENSOR PRESSURE</t>
  </si>
  <si>
    <t>49-42</t>
  </si>
  <si>
    <t>2704506-5</t>
  </si>
  <si>
    <t>MOTOR-STARTER</t>
  </si>
  <si>
    <t>27-457</t>
  </si>
  <si>
    <t>SWITCH-CONTROL, RUDDER TRIM</t>
  </si>
  <si>
    <t>24-38</t>
  </si>
  <si>
    <t>2758</t>
  </si>
  <si>
    <t>AIRCRAFT BATTERY</t>
  </si>
  <si>
    <t>28-12</t>
  </si>
  <si>
    <t>28-0033</t>
  </si>
  <si>
    <t>VALVE-FLOAT, VENT</t>
  </si>
  <si>
    <t>28301-02</t>
  </si>
  <si>
    <t>MASK OXYGEN</t>
  </si>
  <si>
    <t>UNK</t>
  </si>
  <si>
    <t>289-601-212</t>
  </si>
  <si>
    <t>PASSENGER OXYGEN MASK</t>
  </si>
  <si>
    <t>289-601-248</t>
  </si>
  <si>
    <t>32-45</t>
  </si>
  <si>
    <t>292-1-3100-00</t>
  </si>
  <si>
    <t>30-73</t>
  </si>
  <si>
    <t>2941-2616</t>
  </si>
  <si>
    <t>HEATER-INNER LINE</t>
  </si>
  <si>
    <t>2980332100100</t>
  </si>
  <si>
    <t>FAUCET ASSY-WATER</t>
  </si>
  <si>
    <t>2980372100100</t>
  </si>
  <si>
    <t>FAUCET</t>
  </si>
  <si>
    <t>73-22</t>
  </si>
  <si>
    <t>2A3343</t>
  </si>
  <si>
    <t>PROBE TOTAL PRESSURE TEMPERATURE</t>
  </si>
  <si>
    <t>33-48</t>
  </si>
  <si>
    <t>2LA005303-05</t>
  </si>
  <si>
    <t>LIGHT UNIT-STROBE REAR</t>
  </si>
  <si>
    <t>2LA005308-05</t>
  </si>
  <si>
    <t>LIGHT UNIT-WING STROBE</t>
  </si>
  <si>
    <t>2LA005469-00</t>
  </si>
  <si>
    <t>PANEL-WARNING LIGHT</t>
  </si>
  <si>
    <t>2LA005469-01</t>
  </si>
  <si>
    <t>33-12</t>
  </si>
  <si>
    <t>2LA005541-11</t>
  </si>
  <si>
    <t>FLOODLIGHT UNIT-CAPTAIN</t>
  </si>
  <si>
    <t>2LA005543-11</t>
  </si>
  <si>
    <t>FLOODLIGHT UNIT-FIRST OFFICER</t>
  </si>
  <si>
    <t>2LA410330-00</t>
  </si>
  <si>
    <t>LIGHT-ANTICOLLISION FLASHING UNIT</t>
  </si>
  <si>
    <t>33-41</t>
  </si>
  <si>
    <t>2LA456241-00</t>
  </si>
  <si>
    <t>LIGHT ASSY-NAV AND STROBE, REAR</t>
  </si>
  <si>
    <t>2LA456509-03</t>
  </si>
  <si>
    <t>LIGHT-ANTICOLLISION,WING STROBE (LH)</t>
  </si>
  <si>
    <t>2LA456510-03</t>
  </si>
  <si>
    <t>LIGHT-ANTICOLLISION,WING STROBE (RH)</t>
  </si>
  <si>
    <t>28-46</t>
  </si>
  <si>
    <t>30042-0000-0501</t>
  </si>
  <si>
    <t>CONTROL UNIT-LEVEL</t>
  </si>
  <si>
    <t>33-49</t>
  </si>
  <si>
    <t>30-1883-4</t>
  </si>
  <si>
    <t>FLOODLIGHT RH, WING-ENG SCAN</t>
  </si>
  <si>
    <t>30-1883-5</t>
  </si>
  <si>
    <t>FLOODLIGHT LH, WING-ENG SCAN</t>
  </si>
  <si>
    <t>3022143-000</t>
  </si>
  <si>
    <t>PUMP-ELECTRIC</t>
  </si>
  <si>
    <t>29-11</t>
  </si>
  <si>
    <t>3031863-002</t>
  </si>
  <si>
    <t>PUMP-HYDRAULIC</t>
  </si>
  <si>
    <t>30320-0203</t>
  </si>
  <si>
    <t>COMPUTER-FUEL QTY INDICATION SYSTEM</t>
  </si>
  <si>
    <t>72-21</t>
  </si>
  <si>
    <t>305-484-602-0</t>
  </si>
  <si>
    <t>CONE-SPINNER, FRONT</t>
  </si>
  <si>
    <t>305766-4</t>
  </si>
  <si>
    <t>PLUG-IGNITER</t>
  </si>
  <si>
    <t>27-34</t>
  </si>
  <si>
    <t>30973-262</t>
  </si>
  <si>
    <t>VALVE-ELECTRO, SERVOCONTROL ELEVATOR</t>
  </si>
  <si>
    <t>30983-262</t>
  </si>
  <si>
    <t>SERVOCONTROL-AILERON VALVE-ELECTRO</t>
  </si>
  <si>
    <t>27-14</t>
  </si>
  <si>
    <t>31073-110</t>
  </si>
  <si>
    <t>SERVOCONTROL-AILERON</t>
  </si>
  <si>
    <t>31075-440</t>
  </si>
  <si>
    <t>SERVOCONTROL-ELEVATOR</t>
  </si>
  <si>
    <t>31075-840</t>
  </si>
  <si>
    <t>27-64</t>
  </si>
  <si>
    <t>31077-211</t>
  </si>
  <si>
    <t>SERVOCONTROL-SPOILER, INBOARD</t>
  </si>
  <si>
    <t>29-24</t>
  </si>
  <si>
    <t>310ZN01Y01</t>
  </si>
  <si>
    <t>SENSOR-CURRENT UNBALANCE</t>
  </si>
  <si>
    <t>32-41</t>
  </si>
  <si>
    <t>3-1531-3</t>
  </si>
  <si>
    <t>WHEEL ASSY-NLG</t>
  </si>
  <si>
    <t>320-549-005-0</t>
  </si>
  <si>
    <t>SENSOR, N2 SPEED</t>
  </si>
  <si>
    <t>320-557-503-0</t>
  </si>
  <si>
    <t>SENSOR, N1 SPEED</t>
  </si>
  <si>
    <t>27-92</t>
  </si>
  <si>
    <t>321000M03</t>
  </si>
  <si>
    <t>SIDE STICK TRANSDUCER UNIT</t>
  </si>
  <si>
    <t>78-32</t>
  </si>
  <si>
    <t>321-049-300-0</t>
  </si>
  <si>
    <t>PLUG</t>
  </si>
  <si>
    <t>321200M02</t>
  </si>
  <si>
    <t>TRANSDUCER UNIT</t>
  </si>
  <si>
    <t>78-31</t>
  </si>
  <si>
    <t>321-400-503-0</t>
  </si>
  <si>
    <t>SWITCH-STOW, BLOCKER DOOR</t>
  </si>
  <si>
    <t>321-400-604-0</t>
  </si>
  <si>
    <t>SWITCH-DEPLOY, BLOCKER DOOR</t>
  </si>
  <si>
    <t>78-36</t>
  </si>
  <si>
    <t>321-400-705-0</t>
  </si>
  <si>
    <t>ACTUATOR-HYDRAULIC DOOR</t>
  </si>
  <si>
    <t>321-400-707-0</t>
  </si>
  <si>
    <t>321-402-802-0</t>
  </si>
  <si>
    <t>PIPE-LATCH SUPPLY</t>
  </si>
  <si>
    <t>321-403-002-0</t>
  </si>
  <si>
    <t>PIPE-ACTUTOR ROD SUPPLY</t>
  </si>
  <si>
    <t>321-405-201-0</t>
  </si>
  <si>
    <t>HOSE-ACTUTOR ROD SUPPLY</t>
  </si>
  <si>
    <t>33-51</t>
  </si>
  <si>
    <t>3214-31</t>
  </si>
  <si>
    <t>BATTERY EPSU</t>
  </si>
  <si>
    <t>27-26</t>
  </si>
  <si>
    <t>322000M02</t>
  </si>
  <si>
    <t>32-51</t>
  </si>
  <si>
    <t>322200-7M00</t>
  </si>
  <si>
    <t>TRANSMITTER UNIT-N,W STRG HANDWHEEL</t>
  </si>
  <si>
    <t>322200-8M00</t>
  </si>
  <si>
    <t>TRANSMITTER UNIT-N, W STRG HANDWHEEL</t>
  </si>
  <si>
    <t>75-21</t>
  </si>
  <si>
    <t>324685-5</t>
  </si>
  <si>
    <t>VALVE-HPT ACTIVE CLEARANCE CONTROL</t>
  </si>
  <si>
    <t>33-24</t>
  </si>
  <si>
    <t>3250-30</t>
  </si>
  <si>
    <t>BALLAST UNIT</t>
  </si>
  <si>
    <t>3250-80</t>
  </si>
  <si>
    <t>30-21</t>
  </si>
  <si>
    <t>326975</t>
  </si>
  <si>
    <t>VALVE INTAKE ANTI-ICE</t>
  </si>
  <si>
    <t>327155-3</t>
  </si>
  <si>
    <t>VALVE ANTI-ICE, ENGINE AIR INTAKE</t>
  </si>
  <si>
    <t>3282970-5</t>
  </si>
  <si>
    <t>STOP, MECHANISM-BLEED VALVE</t>
  </si>
  <si>
    <t>49-52</t>
  </si>
  <si>
    <t>3291238-2</t>
  </si>
  <si>
    <t>VALVE-SURGE CONTROL, APU</t>
  </si>
  <si>
    <t>3291390-4</t>
  </si>
  <si>
    <t>VALVE, AIR TRANSIENT</t>
  </si>
  <si>
    <t>49-00</t>
  </si>
  <si>
    <t>3291432-2</t>
  </si>
  <si>
    <t>VALVE-LOAD CONTROL</t>
  </si>
  <si>
    <t>3291556-3</t>
  </si>
  <si>
    <t>VALVE-STARTER</t>
  </si>
  <si>
    <t>329695-6</t>
  </si>
  <si>
    <t>76-11</t>
  </si>
  <si>
    <t>330400M01</t>
  </si>
  <si>
    <t>CONTROL UNIT-THROTTLE</t>
  </si>
  <si>
    <t>335TS08Y01</t>
  </si>
  <si>
    <t>FIRE PANEL-ENGINE APU</t>
  </si>
  <si>
    <t>26-22</t>
  </si>
  <si>
    <t>33600005-3</t>
  </si>
  <si>
    <t>EXTINGUISHER-FIRE, APU</t>
  </si>
  <si>
    <t>26-21</t>
  </si>
  <si>
    <t>33600105-4</t>
  </si>
  <si>
    <t>BOTTLE-FIRE EXTINGUISHER</t>
  </si>
  <si>
    <t>336-007-746-0</t>
  </si>
  <si>
    <t>BLADE-FAN ROTOR, SINGLE</t>
  </si>
  <si>
    <t>336-010-005-0</t>
  </si>
  <si>
    <t>ENGINE LUBRICATION UNIT</t>
  </si>
  <si>
    <t>336-018-202-0</t>
  </si>
  <si>
    <t>CONE-SPINNER, REAR</t>
  </si>
  <si>
    <t>72-23</t>
  </si>
  <si>
    <t>336-030-110-0</t>
  </si>
  <si>
    <t>PANEL-ACOUSTICAL, FWD</t>
  </si>
  <si>
    <t>336-030-408-0</t>
  </si>
  <si>
    <t>PANEL-ACOUSTICAL, MID</t>
  </si>
  <si>
    <t>336-065-014-0</t>
  </si>
  <si>
    <t>VANE-OUTLET GUIDE DOUBLET, ENGINE FA</t>
  </si>
  <si>
    <t>337-075-105-0</t>
  </si>
  <si>
    <t>LUBRICATION UNIT</t>
  </si>
  <si>
    <t>338-002-114-0</t>
  </si>
  <si>
    <t>72-00</t>
  </si>
  <si>
    <t>338-012-403-0</t>
  </si>
  <si>
    <t>TUBE</t>
  </si>
  <si>
    <t>338-067-015-0</t>
  </si>
  <si>
    <t>VANE-OUTLET GUIDE DOUBLET</t>
  </si>
  <si>
    <t>338-073-011-0</t>
  </si>
  <si>
    <t>PANEL ASSY-ACOUSTICAL, ENGINE FAN</t>
  </si>
  <si>
    <t>338-078-806-0</t>
  </si>
  <si>
    <t>338-079-506-0</t>
  </si>
  <si>
    <t>338-079-706-0</t>
  </si>
  <si>
    <t>338-107-502-0</t>
  </si>
  <si>
    <t>BLADE, PAIR SET-FAN ROTOR STG 1</t>
  </si>
  <si>
    <t>338-129-251-0</t>
  </si>
  <si>
    <t>HOSE, RTN HEATER</t>
  </si>
  <si>
    <t>34100005-1</t>
  </si>
  <si>
    <t>EXTINGUISHER-FIRE, ENGINE</t>
  </si>
  <si>
    <t>341086-200</t>
  </si>
  <si>
    <t>DETECTION UNIT</t>
  </si>
  <si>
    <t>341E030000</t>
  </si>
  <si>
    <t>THERMOSTAT-SOLENOID</t>
  </si>
  <si>
    <t>341F010000</t>
  </si>
  <si>
    <t>342300M01</t>
  </si>
  <si>
    <t>342B050000</t>
  </si>
  <si>
    <t>THERMOSTAT-TEMP. CONTROL</t>
  </si>
  <si>
    <t>26-23</t>
  </si>
  <si>
    <t>34600017</t>
  </si>
  <si>
    <t>FIRE EXTINGUISHER, CARGO</t>
  </si>
  <si>
    <t>34600049-1</t>
  </si>
  <si>
    <t>FIRE-EXTINGUISHER, CARGO</t>
  </si>
  <si>
    <t>3505582-28</t>
  </si>
  <si>
    <t>STARTER-AIR</t>
  </si>
  <si>
    <t>31-52</t>
  </si>
  <si>
    <t>35-0D5-1003</t>
  </si>
  <si>
    <t>LOUDSPEAKER-AMPLIFIER, COCKPIT</t>
  </si>
  <si>
    <t>31-53</t>
  </si>
  <si>
    <t>350E053021212</t>
  </si>
  <si>
    <t>FLIGHT WARNING COMPUTER</t>
  </si>
  <si>
    <t>31</t>
  </si>
  <si>
    <t>350E053021818</t>
  </si>
  <si>
    <t>FWC-FLIGHT WARNING COMPUTER</t>
  </si>
  <si>
    <t>350E053022424</t>
  </si>
  <si>
    <t>31-61</t>
  </si>
  <si>
    <t>35-0L0-1003-06</t>
  </si>
  <si>
    <t>ECAM CONTROL PANEL</t>
  </si>
  <si>
    <t>35-0L5-1107-09</t>
  </si>
  <si>
    <t>BCL-BATTERY CHARGE LIMITER</t>
  </si>
  <si>
    <t>32-47</t>
  </si>
  <si>
    <t>35-1H5-1002</t>
  </si>
  <si>
    <t>BTMU-BRAKE TEMPERAT MONITORING UNIT</t>
  </si>
  <si>
    <t>3530000-1</t>
  </si>
  <si>
    <t>SENSOR-LEVEL FLSS</t>
  </si>
  <si>
    <t>36-22</t>
  </si>
  <si>
    <t>35518-48-400</t>
  </si>
  <si>
    <t>SENSING ELEMENT-CONTINIOUS</t>
  </si>
  <si>
    <t>3552AAADAACXCD</t>
  </si>
  <si>
    <t>CYLINDER ASSEMBLY, PORTABLE OXYGEN</t>
  </si>
  <si>
    <t>3616140-11</t>
  </si>
  <si>
    <t>FAN COOLING ASSY</t>
  </si>
  <si>
    <t>3732A010000</t>
  </si>
  <si>
    <t>EXCHANGER-PRECOOLER</t>
  </si>
  <si>
    <t>49-11</t>
  </si>
  <si>
    <t>3800708-1</t>
  </si>
  <si>
    <t>APU-AUXILIARY POWER UNIT</t>
  </si>
  <si>
    <t>3860864-1</t>
  </si>
  <si>
    <t>CLUTCH-ASSY-STARTER, APU</t>
  </si>
  <si>
    <t>3876132-13</t>
  </si>
  <si>
    <t>CABLE</t>
  </si>
  <si>
    <t>49-71</t>
  </si>
  <si>
    <t>3876223-1</t>
  </si>
  <si>
    <t>TRANSDUCER-MOTIONAL PICKUP</t>
  </si>
  <si>
    <t>49-51</t>
  </si>
  <si>
    <t>3876226-1</t>
  </si>
  <si>
    <t>TOTAL PRESSURE SENSOR</t>
  </si>
  <si>
    <t>3876227-2</t>
  </si>
  <si>
    <t>SENSOR, DELTA P SENSOR</t>
  </si>
  <si>
    <t>49-73</t>
  </si>
  <si>
    <t>3876287-1</t>
  </si>
  <si>
    <t>MODULE-DATA MEMORY, APU</t>
  </si>
  <si>
    <t>3886188-3</t>
  </si>
  <si>
    <t>ACTUATOR-IGV, COMPRESSOR, APU</t>
  </si>
  <si>
    <t>3888058-5</t>
  </si>
  <si>
    <t>49-61</t>
  </si>
  <si>
    <t>3888394-221205</t>
  </si>
  <si>
    <t>ELECTRONIC CONTROL BOX</t>
  </si>
  <si>
    <t>3888579-202</t>
  </si>
  <si>
    <t>ECB-ELECTRONIC CONTROL BOX</t>
  </si>
  <si>
    <t>30-11</t>
  </si>
  <si>
    <t>38E93-6</t>
  </si>
  <si>
    <t>VALVE-CONTROL,WING ANTI ICING</t>
  </si>
  <si>
    <t>3907130402</t>
  </si>
  <si>
    <t>DISPLAY UNIT</t>
  </si>
  <si>
    <t>27-93</t>
  </si>
  <si>
    <t>3945128218</t>
  </si>
  <si>
    <t>ELAC-ELEVATOR AILERON COMPUTER</t>
  </si>
  <si>
    <t>3945129100</t>
  </si>
  <si>
    <t>73-00</t>
  </si>
  <si>
    <t>3957985114</t>
  </si>
  <si>
    <t>ENGINE INTERFACE UNIT</t>
  </si>
  <si>
    <t>3957985205</t>
  </si>
  <si>
    <t>EIU-ENGINE INTERFACE UNIT</t>
  </si>
  <si>
    <t>21-58</t>
  </si>
  <si>
    <t>3957A0000-03</t>
  </si>
  <si>
    <t>VALVE-ISOLATION</t>
  </si>
  <si>
    <t>3958A0000-01</t>
  </si>
  <si>
    <t>3961A0000K01</t>
  </si>
  <si>
    <t>CSAS HEAT EXCHANGER</t>
  </si>
  <si>
    <t>396800-12</t>
  </si>
  <si>
    <t>MOTOR, GEAR HYDRAULIC</t>
  </si>
  <si>
    <t>4063-16082-3</t>
  </si>
  <si>
    <t>VALVE ASSY-ISOLATION</t>
  </si>
  <si>
    <t>22-82</t>
  </si>
  <si>
    <t>4089740-961</t>
  </si>
  <si>
    <t>MCDU CONTROL DISPLAY UNIT</t>
  </si>
  <si>
    <t>4100837K</t>
  </si>
  <si>
    <t>VALVE ASSY-BLEED CONTROL        ,</t>
  </si>
  <si>
    <t>29-23</t>
  </si>
  <si>
    <t>4101002-13</t>
  </si>
  <si>
    <t>TRANSFER UNIT-HYD POWER</t>
  </si>
  <si>
    <t>4101099H</t>
  </si>
  <si>
    <t>FAN ASSY-COOLING</t>
  </si>
  <si>
    <t>4131020-4</t>
  </si>
  <si>
    <t>MODULE-LUBE</t>
  </si>
  <si>
    <t>4141028-3</t>
  </si>
  <si>
    <t>VALVE-DE OIL SOLENOID</t>
  </si>
  <si>
    <t>24-28</t>
  </si>
  <si>
    <t>4188-01</t>
  </si>
  <si>
    <t>4197-10-04</t>
  </si>
  <si>
    <t>4197-20-04</t>
  </si>
  <si>
    <t>41SG381-1</t>
  </si>
  <si>
    <t>TRANSMITTER-OIL PRESSURE</t>
  </si>
  <si>
    <t>4205401</t>
  </si>
  <si>
    <t>33-46</t>
  </si>
  <si>
    <t>4233488</t>
  </si>
  <si>
    <t>LIGHT-TAKE OFF</t>
  </si>
  <si>
    <t>4236564</t>
  </si>
  <si>
    <t>LIGHT-TAXI 8LR</t>
  </si>
  <si>
    <t>30-45</t>
  </si>
  <si>
    <t>4279198</t>
  </si>
  <si>
    <t>MOTOR CONVERTER (RH)</t>
  </si>
  <si>
    <t>4279204</t>
  </si>
  <si>
    <t>MOTOR CONVERTER (LH)</t>
  </si>
  <si>
    <t>430201</t>
  </si>
  <si>
    <t>STATOR-ALTERNATOR</t>
  </si>
  <si>
    <t>49-32</t>
  </si>
  <si>
    <t>441921-5</t>
  </si>
  <si>
    <t>CONTROL ASSY-FUEL, APU</t>
  </si>
  <si>
    <t>35-23</t>
  </si>
  <si>
    <t>4441085-000</t>
  </si>
  <si>
    <t>SWITCH-ALTITUDE</t>
  </si>
  <si>
    <t>44E64-8</t>
  </si>
  <si>
    <t>VALVE, FUEL MANIFOLD</t>
  </si>
  <si>
    <t>4500001B</t>
  </si>
  <si>
    <t>APU, APS-3200 TYPE</t>
  </si>
  <si>
    <t>4500003L</t>
  </si>
  <si>
    <t>ELECTRONIC CONTROL BOX, APU</t>
  </si>
  <si>
    <t>4500039F</t>
  </si>
  <si>
    <t>PUMP ASSY-FUEL CONTROL UNIT, APU</t>
  </si>
  <si>
    <t>4501259C</t>
  </si>
  <si>
    <t>FLOW DIVIDER</t>
  </si>
  <si>
    <t>29-13</t>
  </si>
  <si>
    <t>450-1-3100-00</t>
  </si>
  <si>
    <t>29-32</t>
  </si>
  <si>
    <t>450-2-3100-00</t>
  </si>
  <si>
    <t>450267371</t>
  </si>
  <si>
    <t>450267373</t>
  </si>
  <si>
    <t>450267375</t>
  </si>
  <si>
    <t>450267377</t>
  </si>
  <si>
    <t>450267379</t>
  </si>
  <si>
    <t>49-23</t>
  </si>
  <si>
    <t>4504086</t>
  </si>
  <si>
    <t>ACTUATOR ASSY-IGV, APU</t>
  </si>
  <si>
    <t>26-13</t>
  </si>
  <si>
    <t>4550-01</t>
  </si>
  <si>
    <t>DETECTOR ASSY-OVERHEAT, APU</t>
  </si>
  <si>
    <t>45731-1375</t>
  </si>
  <si>
    <t>IDG OIL COOLER</t>
  </si>
  <si>
    <t>45731-1382</t>
  </si>
  <si>
    <t>HEATER, SERVO FUEL</t>
  </si>
  <si>
    <t>45731-1391</t>
  </si>
  <si>
    <t>45D31</t>
  </si>
  <si>
    <t>FUEL DIFFERENTIAL PRESSURE SWITCH</t>
  </si>
  <si>
    <t>30-71</t>
  </si>
  <si>
    <t>4-60000H883-00</t>
  </si>
  <si>
    <t>MAST ASSY-DRAIN</t>
  </si>
  <si>
    <t>465020-03030316</t>
  </si>
  <si>
    <t>AIR DATA AND INERTIAL REFERENCE UNIT</t>
  </si>
  <si>
    <t>27-44</t>
  </si>
  <si>
    <t>47145-268</t>
  </si>
  <si>
    <t>ACTUATOR-THS</t>
  </si>
  <si>
    <t>30-31</t>
  </si>
  <si>
    <t>47215920BB00</t>
  </si>
  <si>
    <t>PROBE HEAT COMPUTER</t>
  </si>
  <si>
    <t>473873-2</t>
  </si>
  <si>
    <t>FIRE DETECTOR ASSEMBLY</t>
  </si>
  <si>
    <t>473873-7</t>
  </si>
  <si>
    <t>DETECTOR ASSY-FIRE ACCESSORY</t>
  </si>
  <si>
    <t>49-170-11</t>
  </si>
  <si>
    <t>SLAT AND FLAP CONTROL COMPUTER</t>
  </si>
  <si>
    <t>4950000</t>
  </si>
  <si>
    <t>IGNITION BOX EXCITER, APU</t>
  </si>
  <si>
    <t>4950009</t>
  </si>
  <si>
    <t>SENSOR SPEED, APU</t>
  </si>
  <si>
    <t>4950036</t>
  </si>
  <si>
    <t>SENSOR-PRESSURE</t>
  </si>
  <si>
    <t>4950581-1</t>
  </si>
  <si>
    <t>CABLE-IGNITOR</t>
  </si>
  <si>
    <t>4950581-2</t>
  </si>
  <si>
    <t>4950944</t>
  </si>
  <si>
    <t>SENSOR-COMPR DISCHARGE</t>
  </si>
  <si>
    <t>4951652</t>
  </si>
  <si>
    <t>49-94</t>
  </si>
  <si>
    <t>4951985</t>
  </si>
  <si>
    <t>SWITCH-LOP</t>
  </si>
  <si>
    <t>4952164</t>
  </si>
  <si>
    <t>5000C5004</t>
  </si>
  <si>
    <t>SERVOCONTROL-SPOILER SERVOVALVE</t>
  </si>
  <si>
    <t>5009913G</t>
  </si>
  <si>
    <t>MAIN FUEL PUMP</t>
  </si>
  <si>
    <t>24-25</t>
  </si>
  <si>
    <t>503CA04F2-02Y00</t>
  </si>
  <si>
    <t>CONTACTOR-DOUBLE THREE POLE</t>
  </si>
  <si>
    <t>73-21</t>
  </si>
  <si>
    <t>505344-1</t>
  </si>
  <si>
    <t>ROTOR, ALTERNATOR</t>
  </si>
  <si>
    <t>506569-1</t>
  </si>
  <si>
    <t>STATOR, ALTERNATOR</t>
  </si>
  <si>
    <t>51154-04</t>
  </si>
  <si>
    <t>PUMP-ELECTRICAL MOTOR</t>
  </si>
  <si>
    <t>24-24</t>
  </si>
  <si>
    <t>520913</t>
  </si>
  <si>
    <t>CSMG-CONSTANT SPEED MOTOR GENERATOR</t>
  </si>
  <si>
    <t>521100</t>
  </si>
  <si>
    <t>GCU-GENERATOR CONTROL UNIT, CSMG</t>
  </si>
  <si>
    <t>528-70</t>
  </si>
  <si>
    <t>LIGHT-NAVIGATION, WING TIP RH</t>
  </si>
  <si>
    <t>528-80</t>
  </si>
  <si>
    <t>LIGHT-NAVIGATION,FORWARD DUAL RED</t>
  </si>
  <si>
    <t>72-11</t>
  </si>
  <si>
    <t>5322121</t>
  </si>
  <si>
    <t>BLADE, FAN, ASSEMBLY OF</t>
  </si>
  <si>
    <t>5373015</t>
  </si>
  <si>
    <t>LINER SEGMENT-FAN EXIT, ASSEMBLY</t>
  </si>
  <si>
    <t>5373025</t>
  </si>
  <si>
    <t>5373035</t>
  </si>
  <si>
    <t>5373045</t>
  </si>
  <si>
    <t>5373055</t>
  </si>
  <si>
    <t>5373065</t>
  </si>
  <si>
    <t>5373075</t>
  </si>
  <si>
    <t>5373085</t>
  </si>
  <si>
    <t>5373095</t>
  </si>
  <si>
    <t>5373105</t>
  </si>
  <si>
    <t>5373115</t>
  </si>
  <si>
    <t>5373125</t>
  </si>
  <si>
    <t>5373135</t>
  </si>
  <si>
    <t>LINER SEGMENT-FAN EXIT,ASSY</t>
  </si>
  <si>
    <t>35-31</t>
  </si>
  <si>
    <t>5500-A1A-BF23A</t>
  </si>
  <si>
    <t>PORTABLE CYLINDER ASSEMBLY</t>
  </si>
  <si>
    <t>55022001-11</t>
  </si>
  <si>
    <t>COOLER OIL FUEL COOLED</t>
  </si>
  <si>
    <t>558CA04A40Y00</t>
  </si>
  <si>
    <t>CONTACTOR-THREE POLE</t>
  </si>
  <si>
    <t>564CA04A21Y00</t>
  </si>
  <si>
    <t>24-51</t>
  </si>
  <si>
    <t>564CA04F10Y00</t>
  </si>
  <si>
    <t>28-21</t>
  </si>
  <si>
    <t>568-1-27202-007</t>
  </si>
  <si>
    <t>PUMP-FUEL</t>
  </si>
  <si>
    <t>27-84</t>
  </si>
  <si>
    <t>5751A0000-01</t>
  </si>
  <si>
    <t>VALVE-SOLENOID</t>
  </si>
  <si>
    <t>75-24</t>
  </si>
  <si>
    <t>5860017-139</t>
  </si>
  <si>
    <t>ACTUATOR VALVE</t>
  </si>
  <si>
    <t>5950041-108</t>
  </si>
  <si>
    <t>VALVE BLEED ST 10 HP COMPRESS</t>
  </si>
  <si>
    <t>72-50</t>
  </si>
  <si>
    <t>5A1733</t>
  </si>
  <si>
    <t>CONE - INLET, ASSEMBLY</t>
  </si>
  <si>
    <t>72-31</t>
  </si>
  <si>
    <t>5A1753</t>
  </si>
  <si>
    <t>FILLER, A/O ANNULUS</t>
  </si>
  <si>
    <t>5R0308</t>
  </si>
  <si>
    <t>PANEL ASSY</t>
  </si>
  <si>
    <t>5R0309</t>
  </si>
  <si>
    <t>5R0310</t>
  </si>
  <si>
    <t>LINING</t>
  </si>
  <si>
    <t>5R0325</t>
  </si>
  <si>
    <t>LINING ASSY</t>
  </si>
  <si>
    <t>5U0072</t>
  </si>
  <si>
    <t>LEAD</t>
  </si>
  <si>
    <t>33-13</t>
  </si>
  <si>
    <t>5XA455806-00</t>
  </si>
  <si>
    <t>CONTROLLER-COCKPIT LIGHTING</t>
  </si>
  <si>
    <t>21-43</t>
  </si>
  <si>
    <t>600700-00-501</t>
  </si>
  <si>
    <t>25-62</t>
  </si>
  <si>
    <t>60592-201</t>
  </si>
  <si>
    <t>RESERVOIR ASSY</t>
  </si>
  <si>
    <t>27-22</t>
  </si>
  <si>
    <t>6137-5</t>
  </si>
  <si>
    <t>ACTUATOR-RUDDER TRIM</t>
  </si>
  <si>
    <t>615-2630-102</t>
  </si>
  <si>
    <t>ANTENNA-ADF</t>
  </si>
  <si>
    <t>61639-203</t>
  </si>
  <si>
    <t>6204-89-00</t>
  </si>
  <si>
    <t>ANTENNA-MARKER</t>
  </si>
  <si>
    <t>34-42</t>
  </si>
  <si>
    <t>622-4542-020</t>
  </si>
  <si>
    <t>TRANSCEIVER-RADIO ALTIMETER</t>
  </si>
  <si>
    <t>34-57</t>
  </si>
  <si>
    <t>622-5001-504</t>
  </si>
  <si>
    <t>DIGITAL DISTANCE RADIO MAGNETIC INDI</t>
  </si>
  <si>
    <t>622-5129-020</t>
  </si>
  <si>
    <t>622-5130-820</t>
  </si>
  <si>
    <t>622-5130-830</t>
  </si>
  <si>
    <t>622-5132-120</t>
  </si>
  <si>
    <t>622-5135-201</t>
  </si>
  <si>
    <t>WEATHER RADAR ANTENNA</t>
  </si>
  <si>
    <t>622-5135-821</t>
  </si>
  <si>
    <t>622-5136-801</t>
  </si>
  <si>
    <t>622-5137-601</t>
  </si>
  <si>
    <t>23-11</t>
  </si>
  <si>
    <t>622-5272-020</t>
  </si>
  <si>
    <t>TRANSCEIVER-HF</t>
  </si>
  <si>
    <t>622-8701-002</t>
  </si>
  <si>
    <t>ANTENNA-RA</t>
  </si>
  <si>
    <t>622-8701-004</t>
  </si>
  <si>
    <t>ANTENNA-RADIO ALTIMETER</t>
  </si>
  <si>
    <t>622-8973-104</t>
  </si>
  <si>
    <t>62292-107</t>
  </si>
  <si>
    <t>SLIDE-ESCAPE</t>
  </si>
  <si>
    <t>62292-108</t>
  </si>
  <si>
    <t>62293-107</t>
  </si>
  <si>
    <t>62293-108</t>
  </si>
  <si>
    <t>24-61</t>
  </si>
  <si>
    <t>630CC04A2Y00</t>
  </si>
  <si>
    <t>CONTACTOR-SINGLE POLE</t>
  </si>
  <si>
    <t>63543-253-4</t>
  </si>
  <si>
    <t>636D0002-507</t>
  </si>
  <si>
    <t>VALVE-NAI UPR</t>
  </si>
  <si>
    <t>30-00</t>
  </si>
  <si>
    <t>636D0002-509</t>
  </si>
  <si>
    <t>VALVE-NAI LWR</t>
  </si>
  <si>
    <t>636D0002-513</t>
  </si>
  <si>
    <t>MANIFOLD-SOLENOIDS NAI</t>
  </si>
  <si>
    <t>64050-866-1</t>
  </si>
  <si>
    <t>INDICATOR-STANDBY AIRSPEED</t>
  </si>
  <si>
    <t>640CC04A2Y00</t>
  </si>
  <si>
    <t>64141-580-1</t>
  </si>
  <si>
    <t>ALTIMETER-STANDBY</t>
  </si>
  <si>
    <t>64161-234-1</t>
  </si>
  <si>
    <t>ALTIMETER-METRIC</t>
  </si>
  <si>
    <t>71-11</t>
  </si>
  <si>
    <t>642-1002-1</t>
  </si>
  <si>
    <t>PANEL-LH LIP SKIN SEGMENT</t>
  </si>
  <si>
    <t>71</t>
  </si>
  <si>
    <t>642-1002-11</t>
  </si>
  <si>
    <t>SPLICE</t>
  </si>
  <si>
    <t>642-1002-3</t>
  </si>
  <si>
    <t>PANEL-RH  LIP SKIN SEGMENT</t>
  </si>
  <si>
    <t>642-1002-5</t>
  </si>
  <si>
    <t>PANEL-LWR  LIP SKIN SEGMENT</t>
  </si>
  <si>
    <t>642-1002-7</t>
  </si>
  <si>
    <t>642-1002-9</t>
  </si>
  <si>
    <t>64300-210</t>
  </si>
  <si>
    <t>HEADSET</t>
  </si>
  <si>
    <t>46-21</t>
  </si>
  <si>
    <t>6430102-2</t>
  </si>
  <si>
    <t>DUAL USB CHARGING PORT</t>
  </si>
  <si>
    <t>655CC04A2Y00</t>
  </si>
  <si>
    <t>664700500A4D</t>
  </si>
  <si>
    <t>CONTROL INTERFACE UNIT-LDG GEAR</t>
  </si>
  <si>
    <t>6730F010000</t>
  </si>
  <si>
    <t>ENGINE BLEED VALVE-FAN AIR</t>
  </si>
  <si>
    <t>6740G010000</t>
  </si>
  <si>
    <t>VALVE-OVERPRESSURE</t>
  </si>
  <si>
    <t>6773F010000</t>
  </si>
  <si>
    <t>HP VALVE-REGULATING, AIR BLEED</t>
  </si>
  <si>
    <t>6774E010000</t>
  </si>
  <si>
    <t>VALVE-BLEED PRESSURE REGULATING</t>
  </si>
  <si>
    <t>6774G010000</t>
  </si>
  <si>
    <t>68-0008</t>
  </si>
  <si>
    <t>SENSOR-TEMPERATURE</t>
  </si>
  <si>
    <t>34-48</t>
  </si>
  <si>
    <t>69000942-151</t>
  </si>
  <si>
    <t>GPWC-GROUND PROXIMITY WARNING CMPT</t>
  </si>
  <si>
    <t>6A5308</t>
  </si>
  <si>
    <t>6A5309</t>
  </si>
  <si>
    <t xml:space="preserve">TUBE </t>
  </si>
  <si>
    <t>6A7614</t>
  </si>
  <si>
    <t>BLADE-FAN ROTOR</t>
  </si>
  <si>
    <t>6A9039</t>
  </si>
  <si>
    <t>TUBE ASSY</t>
  </si>
  <si>
    <t>6A9043</t>
  </si>
  <si>
    <t>6K001788</t>
  </si>
  <si>
    <t>INDEXING PLUNGER</t>
  </si>
  <si>
    <t>70418A010101</t>
  </si>
  <si>
    <t>BLEED MONITORING COMPUTER</t>
  </si>
  <si>
    <t>70418A020101</t>
  </si>
  <si>
    <t>BMC-BLEED MONITORING COMPUTER</t>
  </si>
  <si>
    <t>70629A010001</t>
  </si>
  <si>
    <t>70645A020001</t>
  </si>
  <si>
    <t>VALVE-HP BLEED</t>
  </si>
  <si>
    <t>70646A010001</t>
  </si>
  <si>
    <t>70647A010001</t>
  </si>
  <si>
    <t>70649A010001</t>
  </si>
  <si>
    <t>VALVE-FAN AIR, BODY</t>
  </si>
  <si>
    <t>70652A010001</t>
  </si>
  <si>
    <t>70654A010001</t>
  </si>
  <si>
    <t>VALVE-FAN AIR</t>
  </si>
  <si>
    <t>70853A010001</t>
  </si>
  <si>
    <t>VALVE-TRIM AIR PRESSURE</t>
  </si>
  <si>
    <t>31-39</t>
  </si>
  <si>
    <t>7100-0200-00</t>
  </si>
  <si>
    <t>CVDR</t>
  </si>
  <si>
    <t>72303102-7</t>
  </si>
  <si>
    <t>72303102-8</t>
  </si>
  <si>
    <t>LIGHT-NAVIGATION, GREEN</t>
  </si>
  <si>
    <t>724400-2</t>
  </si>
  <si>
    <t>PUMP, FUEL</t>
  </si>
  <si>
    <t>727-1154-02</t>
  </si>
  <si>
    <t>LIGHT ASSY-NAVIGATION, GREEN (RH)</t>
  </si>
  <si>
    <t>727-1155-02</t>
  </si>
  <si>
    <t>LIGHT ASSY-NAVIGATION, RED (LH)</t>
  </si>
  <si>
    <t>727-1314-02</t>
  </si>
  <si>
    <t>727-1315-02</t>
  </si>
  <si>
    <t>727-1600-01</t>
  </si>
  <si>
    <t>INDICATOR-BRK YELLOW PRESS TRIPLE</t>
  </si>
  <si>
    <t>7319604</t>
  </si>
  <si>
    <t>SERVOVALVE-ELEVATOR, SERVOCONTROL</t>
  </si>
  <si>
    <t>733901-1-2</t>
  </si>
  <si>
    <t>733902-1-2</t>
  </si>
  <si>
    <t>PHC-PROBE HEAT COMPUTER</t>
  </si>
  <si>
    <t>30-42</t>
  </si>
  <si>
    <t>733903-1-1</t>
  </si>
  <si>
    <t>WHC-WINDOW HEAT COMPUTER</t>
  </si>
  <si>
    <t>736A0000-02</t>
  </si>
  <si>
    <t>SENSOR-MIXER TEMPERATURE</t>
  </si>
  <si>
    <t>740119H</t>
  </si>
  <si>
    <t>24-22</t>
  </si>
  <si>
    <t>740120C</t>
  </si>
  <si>
    <t>GENERATOR CONTROL UNIT</t>
  </si>
  <si>
    <t>740121B</t>
  </si>
  <si>
    <t>GROUND POWER CONTROL UNIT</t>
  </si>
  <si>
    <t>79-31</t>
  </si>
  <si>
    <t>74-110-10</t>
  </si>
  <si>
    <t>TRANSMITTER-OIL QTY</t>
  </si>
  <si>
    <t>26-24</t>
  </si>
  <si>
    <t>74-20</t>
  </si>
  <si>
    <t>EXTINGUISHER-FIRE PORTABLE</t>
  </si>
  <si>
    <t>746A0000-06</t>
  </si>
  <si>
    <t>748A0000-08</t>
  </si>
  <si>
    <t>VALVE-ANTI ICING</t>
  </si>
  <si>
    <t>7514081-911</t>
  </si>
  <si>
    <t>34-45</t>
  </si>
  <si>
    <t>7517900-10020</t>
  </si>
  <si>
    <t>COMPUTER-TCAS</t>
  </si>
  <si>
    <t>753D0000-01</t>
  </si>
  <si>
    <t>EXCHANGER-HEAT, PRIMARY</t>
  </si>
  <si>
    <t>754D0000-01</t>
  </si>
  <si>
    <t>EXCHANGER-HEAT, MAIN</t>
  </si>
  <si>
    <t>755D0000-01</t>
  </si>
  <si>
    <t>REHEATER-PACK</t>
  </si>
  <si>
    <t>756722B</t>
  </si>
  <si>
    <t>SOLENOID VALVE ASSEMBLY</t>
  </si>
  <si>
    <t>756B0000-01</t>
  </si>
  <si>
    <t>CONDENSER PACK</t>
  </si>
  <si>
    <t>759D0000-02</t>
  </si>
  <si>
    <t>CONTROLLER-PACK</t>
  </si>
  <si>
    <t>761B0000-01</t>
  </si>
  <si>
    <t>PACK ACTUATOR-INLET</t>
  </si>
  <si>
    <t>763A0000-03</t>
  </si>
  <si>
    <t>29-22</t>
  </si>
  <si>
    <t>764711C</t>
  </si>
  <si>
    <t>ACTUATOR-RAM AIR TURBINE</t>
  </si>
  <si>
    <t>764A0000-03</t>
  </si>
  <si>
    <t>764B0000-01</t>
  </si>
  <si>
    <t>766352B</t>
  </si>
  <si>
    <t>RAT-RAM AIR TURBINE</t>
  </si>
  <si>
    <t>766A0000-01</t>
  </si>
  <si>
    <t>767584M</t>
  </si>
  <si>
    <t>GCU-GENERATOR CONTROL UNIT</t>
  </si>
  <si>
    <t>767A0000-04</t>
  </si>
  <si>
    <t>SENSOR-TEMPERATURE, PACK CONDENSER</t>
  </si>
  <si>
    <t>769B0000-01</t>
  </si>
  <si>
    <t>772292</t>
  </si>
  <si>
    <t>772-335-00</t>
  </si>
  <si>
    <t>POWER SUPPLY UNIT W/O BATTERY</t>
  </si>
  <si>
    <t>772-338-00</t>
  </si>
  <si>
    <t>773A0000-01</t>
  </si>
  <si>
    <t>775D0000-01</t>
  </si>
  <si>
    <t>CONTROLLER-ZONE TEMPERATURE</t>
  </si>
  <si>
    <t>73-25</t>
  </si>
  <si>
    <t>777461-1-1</t>
  </si>
  <si>
    <t>780B0000-01</t>
  </si>
  <si>
    <t>787A0000-11</t>
  </si>
  <si>
    <t>BLOCK-VALVE</t>
  </si>
  <si>
    <t>790424-4</t>
  </si>
  <si>
    <t>VALVE</t>
  </si>
  <si>
    <t>80-00</t>
  </si>
  <si>
    <t>790425A8</t>
  </si>
  <si>
    <t>STARTER,PNEUMATIC</t>
  </si>
  <si>
    <t>792-6140-001</t>
  </si>
  <si>
    <t>COUPLER-HF ANTENNA</t>
  </si>
  <si>
    <t>796-809-6A</t>
  </si>
  <si>
    <t>CADENSICON</t>
  </si>
  <si>
    <t>28-26</t>
  </si>
  <si>
    <t>796-815-02-03</t>
  </si>
  <si>
    <t>PRESELECTOR-FUEL REFILLING</t>
  </si>
  <si>
    <t>33-43</t>
  </si>
  <si>
    <t>8000306Y00</t>
  </si>
  <si>
    <t>LIGHT-RUNWAY TURNOFF</t>
  </si>
  <si>
    <t>80-178-03-88013</t>
  </si>
  <si>
    <t>LGCIU-LDG GEAR CONTRL INTERFACE UNIT</t>
  </si>
  <si>
    <t>802300-14</t>
  </si>
  <si>
    <t>8061-536</t>
  </si>
  <si>
    <t>UNIT, HYDROMECHANICAL</t>
  </si>
  <si>
    <t>8061-640</t>
  </si>
  <si>
    <t>FUEL METERING UNIT</t>
  </si>
  <si>
    <t>27-24</t>
  </si>
  <si>
    <t>810A0000-06</t>
  </si>
  <si>
    <t>SERVOCONTROL-RUDDER</t>
  </si>
  <si>
    <t>810D0000-01</t>
  </si>
  <si>
    <t>822-0297-020</t>
  </si>
  <si>
    <t>822-0299-020</t>
  </si>
  <si>
    <t>34-51</t>
  </si>
  <si>
    <t>822-0329-020</t>
  </si>
  <si>
    <t>822-0334-020</t>
  </si>
  <si>
    <t>822-0987-003</t>
  </si>
  <si>
    <t>822-0990-003</t>
  </si>
  <si>
    <t>822-1047-030</t>
  </si>
  <si>
    <t>34-36</t>
  </si>
  <si>
    <t>822-1152-122</t>
  </si>
  <si>
    <t>RECEIVER-MMR, GLU-920</t>
  </si>
  <si>
    <t>822-1287-121</t>
  </si>
  <si>
    <t>822-1293-332</t>
  </si>
  <si>
    <t>822-1330-001</t>
  </si>
  <si>
    <t>ANTENNA-GPS ACTIVE</t>
  </si>
  <si>
    <t>822-1338-225</t>
  </si>
  <si>
    <t>TRANSPONDER-ATC</t>
  </si>
  <si>
    <t>822-1710-203</t>
  </si>
  <si>
    <t>822-1710-214</t>
  </si>
  <si>
    <t>WEATHER RADAR TRANSCEIVER</t>
  </si>
  <si>
    <t>822-1710-411</t>
  </si>
  <si>
    <t>TRANSCEIVER-WEATHER RADAR</t>
  </si>
  <si>
    <t>822-1821-430</t>
  </si>
  <si>
    <t>MMR-MULTI MODE RECEIVER</t>
  </si>
  <si>
    <t>822-2033-001</t>
  </si>
  <si>
    <t>822-2763-020</t>
  </si>
  <si>
    <t>822-2911-021</t>
  </si>
  <si>
    <t>46-26</t>
  </si>
  <si>
    <t>822-3595-100</t>
  </si>
  <si>
    <t>ANTENNA-FOMAX GATELINK ANTENNA</t>
  </si>
  <si>
    <t>822-3613-100</t>
  </si>
  <si>
    <t>FOMAX UNIT</t>
  </si>
  <si>
    <t>824972-7-022</t>
  </si>
  <si>
    <t>ELECTRONIC ENGINE CONTROL</t>
  </si>
  <si>
    <t>831C0000-03</t>
  </si>
  <si>
    <t>BRAKE-WING TIP</t>
  </si>
  <si>
    <t>23-72</t>
  </si>
  <si>
    <t>8450B5</t>
  </si>
  <si>
    <t>CDSS HINGE ASSY</t>
  </si>
  <si>
    <t>85-16-11494-05</t>
  </si>
  <si>
    <t>MICROPHONE-HAND</t>
  </si>
  <si>
    <t>87232323V00</t>
  </si>
  <si>
    <t>SENSOR-DUCT TEMPERATURE, AVIONICS</t>
  </si>
  <si>
    <t>87232324V00</t>
  </si>
  <si>
    <t>SENSOR-SKIN TEMPERATURE</t>
  </si>
  <si>
    <t>87232329V07</t>
  </si>
  <si>
    <t>AIR DATA MODULE</t>
  </si>
  <si>
    <t>87292325V07</t>
  </si>
  <si>
    <t>AEVC-AVIONIC EQUIPMENT VENT COMPUT</t>
  </si>
  <si>
    <t>8891-48</t>
  </si>
  <si>
    <t>23-73</t>
  </si>
  <si>
    <t>89-01-07000</t>
  </si>
  <si>
    <t>TELEPHONE HANDSET</t>
  </si>
  <si>
    <t>89-01-07122</t>
  </si>
  <si>
    <t>89-01-07152</t>
  </si>
  <si>
    <t>35-11</t>
  </si>
  <si>
    <t>891511-14</t>
  </si>
  <si>
    <t>CYLINDER ASSY-OXYGEN, CREW</t>
  </si>
  <si>
    <t>52-71</t>
  </si>
  <si>
    <t>8-933-01</t>
  </si>
  <si>
    <t>PROXIMITY SENSOR RECTANGULAR</t>
  </si>
  <si>
    <t>89794077</t>
  </si>
  <si>
    <t>CREW OXYGEN CYLINDER ASSY</t>
  </si>
  <si>
    <t>26-26</t>
  </si>
  <si>
    <t>898052</t>
  </si>
  <si>
    <t>EXTINGUISHER-FIRE PORTABLE, HALON</t>
  </si>
  <si>
    <t>8ES005304-00</t>
  </si>
  <si>
    <t>POWER SUPPLY UNIT</t>
  </si>
  <si>
    <t>8ES403703-02</t>
  </si>
  <si>
    <t>TRANSFORMER-REAR NAVIGATION LIGHT</t>
  </si>
  <si>
    <t>8ES455012-06</t>
  </si>
  <si>
    <t>POWER SUPPLY UNIT, BEACON</t>
  </si>
  <si>
    <t>8ES455438-07</t>
  </si>
  <si>
    <t>8ES455967-01</t>
  </si>
  <si>
    <t>PSU-POWER SUPPLY UNIT, BEACON</t>
  </si>
  <si>
    <t>8ES456222-01</t>
  </si>
  <si>
    <t>PSU-POWER SUPPLY UNIT</t>
  </si>
  <si>
    <t>8ES456513-01</t>
  </si>
  <si>
    <t>PSU-POWER SUPPLY UNIT,  WING STROBE</t>
  </si>
  <si>
    <t>77-23</t>
  </si>
  <si>
    <t>8TC19AAR1</t>
  </si>
  <si>
    <t>SENSOR, TEMP CPRSR DISCH</t>
  </si>
  <si>
    <t>73-31</t>
  </si>
  <si>
    <t>8TJ124GHG1</t>
  </si>
  <si>
    <t>TRANSMITTER-FUEL FLOW, ENGINE</t>
  </si>
  <si>
    <t>8TJ167GHV1</t>
  </si>
  <si>
    <t>TRANSMITTER, FUEL FLOW</t>
  </si>
  <si>
    <t>34-72</t>
  </si>
  <si>
    <t>9005000-11203</t>
  </si>
  <si>
    <t>COMPUTER T3CAS</t>
  </si>
  <si>
    <t>9008000-12100</t>
  </si>
  <si>
    <t>XPDR</t>
  </si>
  <si>
    <t>9024-15704-2</t>
  </si>
  <si>
    <t>27-85</t>
  </si>
  <si>
    <t>9028A0004-01</t>
  </si>
  <si>
    <t>PPU-POSITION PICK-OFF UNIT</t>
  </si>
  <si>
    <t>9043110-16</t>
  </si>
  <si>
    <t>LEAD ASSY-IGNITION</t>
  </si>
  <si>
    <t>9045330-2</t>
  </si>
  <si>
    <t>IGNITION EXCITER</t>
  </si>
  <si>
    <t>9072215-1</t>
  </si>
  <si>
    <t>IGNITER, SPARK MAIN</t>
  </si>
  <si>
    <t>909012-02-01</t>
  </si>
  <si>
    <t>FDU-FIRE DETECTION UNIT</t>
  </si>
  <si>
    <t>910-00510</t>
  </si>
  <si>
    <t>THERMOCOUPLE, HPTCC</t>
  </si>
  <si>
    <t>9104A0006-01</t>
  </si>
  <si>
    <t>PACK CONTROL SENSOR-PRESSURE</t>
  </si>
  <si>
    <t>9104A0009-02</t>
  </si>
  <si>
    <t>SENSOR-PRESSURE, PACK-INLET</t>
  </si>
  <si>
    <t>9105A0005-02</t>
  </si>
  <si>
    <t>9106A0005-02</t>
  </si>
  <si>
    <t>9106A0006-02</t>
  </si>
  <si>
    <t>SENSOR-PRESSURE, DIFFERENTIAL</t>
  </si>
  <si>
    <t>930-1005-001</t>
  </si>
  <si>
    <t>930-3000-001</t>
  </si>
  <si>
    <t>930-6201-001</t>
  </si>
  <si>
    <t>WEATHER RADAR DUAL CTL UNIT</t>
  </si>
  <si>
    <t>93N6035</t>
  </si>
  <si>
    <t>PANEL-REMOTE CONTROL, ELT</t>
  </si>
  <si>
    <t>940-0351-005</t>
  </si>
  <si>
    <t>TCAS</t>
  </si>
  <si>
    <t>9615325060</t>
  </si>
  <si>
    <t>DISPLAY MANAGEMENT COMPUTER</t>
  </si>
  <si>
    <t>9632500-7001</t>
  </si>
  <si>
    <t>LEVER-WASTE DRAIN VALVE</t>
  </si>
  <si>
    <t>964-0452-012</t>
  </si>
  <si>
    <t>TRANSCEIVER-HF COMM</t>
  </si>
  <si>
    <t>964-0453-001</t>
  </si>
  <si>
    <t>965-0976-003-206-206</t>
  </si>
  <si>
    <t>GROUND PROXIMITY WARNING COMPUTER</t>
  </si>
  <si>
    <t>965-1676-003</t>
  </si>
  <si>
    <t>9700C1ABF23A</t>
  </si>
  <si>
    <t>971600</t>
  </si>
  <si>
    <t>29-00</t>
  </si>
  <si>
    <t>974540</t>
  </si>
  <si>
    <t>980-6022-001</t>
  </si>
  <si>
    <t>SOLID STATE COCKPIT VOICE RECORDER</t>
  </si>
  <si>
    <t>A05B00</t>
  </si>
  <si>
    <t>ACTUATOR-ELECTRICAL, VALVE-DRAIN</t>
  </si>
  <si>
    <t>A06L00</t>
  </si>
  <si>
    <t>ACTUATOR ASSY-FIRE SHUTOFF VALVE</t>
  </si>
  <si>
    <t>A08000</t>
  </si>
  <si>
    <t>ACTUATOR ASSY</t>
  </si>
  <si>
    <t>A25313002-1</t>
  </si>
  <si>
    <t>VALVE-BRAKE SELECTOR</t>
  </si>
  <si>
    <t>A25315-1</t>
  </si>
  <si>
    <t>VALVE-PARKING BRAKE</t>
  </si>
  <si>
    <t>A25434006-3000</t>
  </si>
  <si>
    <t>VALVE-DUAL DISTRIBUTION</t>
  </si>
  <si>
    <t>32-42</t>
  </si>
  <si>
    <t>A25461-104</t>
  </si>
  <si>
    <t>SELECTOR-AUTOMATIC VALVE</t>
  </si>
  <si>
    <t>71-13</t>
  </si>
  <si>
    <t>A3410-2</t>
  </si>
  <si>
    <t>STRUT</t>
  </si>
  <si>
    <t>A35104</t>
  </si>
  <si>
    <t>SLEEVE-AXLE, MLG</t>
  </si>
  <si>
    <t>A35534</t>
  </si>
  <si>
    <t>A35778</t>
  </si>
  <si>
    <t>AXLE SLEEVE</t>
  </si>
  <si>
    <t>A68982-004</t>
  </si>
  <si>
    <t>VALVE ASSY-SERVO</t>
  </si>
  <si>
    <t>27</t>
  </si>
  <si>
    <t>A88008-005</t>
  </si>
  <si>
    <t>SERVOCONTROL-AILERON SERVOVALVE</t>
  </si>
  <si>
    <t>25</t>
  </si>
  <si>
    <t>AC40-0209500</t>
  </si>
  <si>
    <t>NET-DIVIDER,TYPE A2</t>
  </si>
  <si>
    <t>25-54</t>
  </si>
  <si>
    <t>AC40-0209900</t>
  </si>
  <si>
    <t>NET - DIVIDER, TYPE C</t>
  </si>
  <si>
    <t>AC40-0217000</t>
  </si>
  <si>
    <t>NET ASSY - DOOR, TYPE A</t>
  </si>
  <si>
    <t>25-55</t>
  </si>
  <si>
    <t>AC40-0217100</t>
  </si>
  <si>
    <t>NET ASSY - DOOR, TYPE B</t>
  </si>
  <si>
    <t>AC40-0217200</t>
  </si>
  <si>
    <t>NET - DOOR, TYPE C</t>
  </si>
  <si>
    <t>AC40-0217300</t>
  </si>
  <si>
    <t>NET ASSY - DOOR, TYPE D</t>
  </si>
  <si>
    <t>AC40-0217400</t>
  </si>
  <si>
    <t>NET ASSY - DOOR, TYPE E</t>
  </si>
  <si>
    <t>AC40-0217500</t>
  </si>
  <si>
    <t>NET - DIVIDER, TYPE A1</t>
  </si>
  <si>
    <t>AC40-0241204</t>
  </si>
  <si>
    <t>NET ASSY - DOOR, TYPE A1</t>
  </si>
  <si>
    <t>AC40-0253610</t>
  </si>
  <si>
    <t>NET-DIVIDER</t>
  </si>
  <si>
    <t>AC69572</t>
  </si>
  <si>
    <t>VALVE SOLENOID STG 7</t>
  </si>
  <si>
    <t>AC69574</t>
  </si>
  <si>
    <t>AC69924</t>
  </si>
  <si>
    <t>VALVE, BLEED STG 7, HP COMPRESSOR</t>
  </si>
  <si>
    <t>ACP2788AB04</t>
  </si>
  <si>
    <t>AUDIO CONTROL PANEL</t>
  </si>
  <si>
    <t>ACP2788AD01</t>
  </si>
  <si>
    <t>ACP-AUDIO CONTROL PANEL</t>
  </si>
  <si>
    <t>AE1819B00</t>
  </si>
  <si>
    <t>FAN-AVIONICS</t>
  </si>
  <si>
    <t>AE2463921G0097</t>
  </si>
  <si>
    <t>HOSE ASSY</t>
  </si>
  <si>
    <t>AE707419-3</t>
  </si>
  <si>
    <t>HOSE, ENGINE HYDRAULIC</t>
  </si>
  <si>
    <t>AE707422-2</t>
  </si>
  <si>
    <t>HOSE, MAIN FUEL SUPPLY</t>
  </si>
  <si>
    <t>AE718529-2</t>
  </si>
  <si>
    <t>AMU2790CB06</t>
  </si>
  <si>
    <t>AUDIO MANAGEMENT UNIT</t>
  </si>
  <si>
    <t>AMU4031SA140204</t>
  </si>
  <si>
    <t>AMU-AUDIO MANAGEMENT UNIT</t>
  </si>
  <si>
    <t>APE5110</t>
  </si>
  <si>
    <t>CLOCK</t>
  </si>
  <si>
    <t>52-51</t>
  </si>
  <si>
    <t>AR4709-101</t>
  </si>
  <si>
    <t>CONTROL-COCKPIT SYSTEM</t>
  </si>
  <si>
    <t>AR4709-11</t>
  </si>
  <si>
    <t>CDLCU-COCKPIT DOOR LOCKING CTRL UNIT</t>
  </si>
  <si>
    <t>AR4714-11</t>
  </si>
  <si>
    <t>STRIKE ASSY-ELECTRICALLY OPERATED</t>
  </si>
  <si>
    <t>AR4714-7</t>
  </si>
  <si>
    <t>52</t>
  </si>
  <si>
    <t>AR4754-7</t>
  </si>
  <si>
    <t>LATCH ASSY</t>
  </si>
  <si>
    <t>AR4755-5</t>
  </si>
  <si>
    <t>LATCH</t>
  </si>
  <si>
    <t>AR4755-6</t>
  </si>
  <si>
    <t>AR4922-1</t>
  </si>
  <si>
    <t>PAD</t>
  </si>
  <si>
    <t>B17CA1042</t>
  </si>
  <si>
    <t>VALVE ASSY-PRESSURE REGULATION</t>
  </si>
  <si>
    <t>27-94</t>
  </si>
  <si>
    <t>B372BAM0515</t>
  </si>
  <si>
    <t>SPOILER ELEVATOR COMPUTER</t>
  </si>
  <si>
    <t>B372BBM0104</t>
  </si>
  <si>
    <t>B372CAM0100</t>
  </si>
  <si>
    <t>SEC-SPOILER ELEVATOR COMPUTER</t>
  </si>
  <si>
    <t>B397BAM0624</t>
  </si>
  <si>
    <t>FAC-FLIGHT AUGMENTATION COMPUTER</t>
  </si>
  <si>
    <t>24-23</t>
  </si>
  <si>
    <t>BA16501-01</t>
  </si>
  <si>
    <t>GENERATOR-APU</t>
  </si>
  <si>
    <t>26-25</t>
  </si>
  <si>
    <t>BA24320A1</t>
  </si>
  <si>
    <t>FIRE EXTINGUISHER LAVATORY</t>
  </si>
  <si>
    <t>BHC1060-04</t>
  </si>
  <si>
    <t>VALVE-PRIORITY, BRAKE SYSTEM</t>
  </si>
  <si>
    <t>BR9279-105</t>
  </si>
  <si>
    <t>IDENTIFIER-EXIT</t>
  </si>
  <si>
    <t>BR9279-106</t>
  </si>
  <si>
    <t>C12404AB02</t>
  </si>
  <si>
    <t>CONTROL UNIT-ATC, TCAS</t>
  </si>
  <si>
    <t>23-13</t>
  </si>
  <si>
    <t>C12848CB01</t>
  </si>
  <si>
    <t>RADIO MANAGEMENT PANEL</t>
  </si>
  <si>
    <t>23</t>
  </si>
  <si>
    <t>C12848EA01</t>
  </si>
  <si>
    <t>RADIO PANEL</t>
  </si>
  <si>
    <t>22-81</t>
  </si>
  <si>
    <t>C12850AC03</t>
  </si>
  <si>
    <t>FCU-FLIGHT CONTROL UNIT</t>
  </si>
  <si>
    <t>22</t>
  </si>
  <si>
    <t>C12850BC03</t>
  </si>
  <si>
    <t>28-22</t>
  </si>
  <si>
    <t>C12CB0013</t>
  </si>
  <si>
    <t>C13042AA04</t>
  </si>
  <si>
    <t>FMGC-FLIGHT MMGMT&amp;GUID COMPTR</t>
  </si>
  <si>
    <t>C13042AA07</t>
  </si>
  <si>
    <t>22-83</t>
  </si>
  <si>
    <t>C13042BA08</t>
  </si>
  <si>
    <t>FMGC-FLIGHT MANAG. &amp;GUID. COMPTR</t>
  </si>
  <si>
    <t>C13043AA06</t>
  </si>
  <si>
    <t>FMGC-FLIGHT MANAGEMENT GUIDANCE COMP</t>
  </si>
  <si>
    <t>C13206AA00</t>
  </si>
  <si>
    <t>C13208AA00</t>
  </si>
  <si>
    <t>22-84</t>
  </si>
  <si>
    <t>C13208BA00</t>
  </si>
  <si>
    <t>FMGC-FLIGHT MNGMT AND GUIDANCE COMPU</t>
  </si>
  <si>
    <t>C16291AB</t>
  </si>
  <si>
    <t>SENSOR-ANGLE OF ATTACK</t>
  </si>
  <si>
    <t>C17065AA</t>
  </si>
  <si>
    <t>34-22</t>
  </si>
  <si>
    <t>C18456AAA01</t>
  </si>
  <si>
    <t>INDICATOR-ISIS</t>
  </si>
  <si>
    <t>C19266EA01</t>
  </si>
  <si>
    <t>MCDU-MULTIPSE CONTROL AND DISP UNIT</t>
  </si>
  <si>
    <t>C19298AF05</t>
  </si>
  <si>
    <t>C19755BA01</t>
  </si>
  <si>
    <t>DU-DISPLAY UNIT</t>
  </si>
  <si>
    <t>32-43</t>
  </si>
  <si>
    <t>C20103500</t>
  </si>
  <si>
    <t>SERVOVALVE-BRAKE</t>
  </si>
  <si>
    <t>C20105000-2</t>
  </si>
  <si>
    <t>TACHOMETER</t>
  </si>
  <si>
    <t>C20195162</t>
  </si>
  <si>
    <t>WHEEL ASSY-MLG</t>
  </si>
  <si>
    <t>C20215000</t>
  </si>
  <si>
    <t>TRANSMITTER-BRAKE PEDAL</t>
  </si>
  <si>
    <t>C20229001</t>
  </si>
  <si>
    <t>THERMOCOUPLE</t>
  </si>
  <si>
    <t>C20374000-2</t>
  </si>
  <si>
    <t>VALVE-SERVO,BRAKE</t>
  </si>
  <si>
    <t>C20464001</t>
  </si>
  <si>
    <t>BRAKE SENSOR-TEMPERATURE</t>
  </si>
  <si>
    <t>C20500100</t>
  </si>
  <si>
    <t>WHEEL ASSY MLG</t>
  </si>
  <si>
    <t>C20534300</t>
  </si>
  <si>
    <t>BRAKE-CARBON</t>
  </si>
  <si>
    <t>C20780000</t>
  </si>
  <si>
    <t>C24703003-1</t>
  </si>
  <si>
    <t>VALVE-SELECTOR, PARKING BRAKE</t>
  </si>
  <si>
    <t>C24736001-3</t>
  </si>
  <si>
    <t>SERVOCONTROL VALVE</t>
  </si>
  <si>
    <t>C24736100-1</t>
  </si>
  <si>
    <t>SERVOCONTROL</t>
  </si>
  <si>
    <t>C24737002-4</t>
  </si>
  <si>
    <t>MANIFOLD-NORMAL BRAKE</t>
  </si>
  <si>
    <t>C24828000</t>
  </si>
  <si>
    <t>SWITCH-PRESSURE, HCU</t>
  </si>
  <si>
    <t>C24993000</t>
  </si>
  <si>
    <t>C24998000</t>
  </si>
  <si>
    <t>VALVE-SWIVEL SELECTOR</t>
  </si>
  <si>
    <t>75-22</t>
  </si>
  <si>
    <t>C25149000-1</t>
  </si>
  <si>
    <t>VALVE-LPT ACTIVE CLEARANCE CONTROL</t>
  </si>
  <si>
    <t>C25175000-3</t>
  </si>
  <si>
    <t>VALVE LPTACC</t>
  </si>
  <si>
    <t>C25243002-2</t>
  </si>
  <si>
    <t>C25243102</t>
  </si>
  <si>
    <t>29-16</t>
  </si>
  <si>
    <t>C51LM0020</t>
  </si>
  <si>
    <t>VALVE-RESERVOIR, FILLING</t>
  </si>
  <si>
    <t>C82LL0010</t>
  </si>
  <si>
    <t>VALVE-DRAIN</t>
  </si>
  <si>
    <t>CA211-00</t>
  </si>
  <si>
    <t>HARNESS-WIRING EGT UPPER</t>
  </si>
  <si>
    <t>CA212-00</t>
  </si>
  <si>
    <t>HARNESS, WIRING EGT LOWER</t>
  </si>
  <si>
    <t>CA213-00</t>
  </si>
  <si>
    <t>COUPLING-EGT, 5B ENGINE</t>
  </si>
  <si>
    <t>34-12</t>
  </si>
  <si>
    <t>CG1151AC03</t>
  </si>
  <si>
    <t>CONTROL DISPLAY UNIT</t>
  </si>
  <si>
    <t>26-15</t>
  </si>
  <si>
    <t>CGDU2000-00</t>
  </si>
  <si>
    <t>DETECTOR-SMOKE</t>
  </si>
  <si>
    <t>CH31964-1</t>
  </si>
  <si>
    <t>35-13</t>
  </si>
  <si>
    <t>CMK80-01</t>
  </si>
  <si>
    <t>29-10</t>
  </si>
  <si>
    <t>D0003107000400</t>
  </si>
  <si>
    <t>ROD</t>
  </si>
  <si>
    <t>D0003107000600</t>
  </si>
  <si>
    <t>38-14</t>
  </si>
  <si>
    <t>D05000</t>
  </si>
  <si>
    <t>VALVE-FILL AND DRAIN, WATER</t>
  </si>
  <si>
    <t>D05A00</t>
  </si>
  <si>
    <t>D05A50</t>
  </si>
  <si>
    <t>VALVE ASSY-GLOBE, VALVE-DRAIN</t>
  </si>
  <si>
    <t>D06C00</t>
  </si>
  <si>
    <t>D23090000-8</t>
  </si>
  <si>
    <t>ACTUATOR-TR PIVOTING DOOR</t>
  </si>
  <si>
    <t>D23116000</t>
  </si>
  <si>
    <t>VALVE ANTI SHIMMY</t>
  </si>
  <si>
    <t>D23119751-1</t>
  </si>
  <si>
    <t>BOX-ELECTRICAL</t>
  </si>
  <si>
    <t>D23611000</t>
  </si>
  <si>
    <t>D24001000</t>
  </si>
  <si>
    <t>VALVE-CONTROL, PARKING BRAKE ELECTR</t>
  </si>
  <si>
    <t>D2557123600000</t>
  </si>
  <si>
    <t>PANEL ASSY-PARTITION</t>
  </si>
  <si>
    <t>D2557153000200</t>
  </si>
  <si>
    <t>PANEL ASSY-DECOMPRESSION</t>
  </si>
  <si>
    <t>D2711004700000</t>
  </si>
  <si>
    <t>SWITCH-PUSH BUTTON</t>
  </si>
  <si>
    <t>D2731009900000</t>
  </si>
  <si>
    <t>SWITCH-TOGGLE</t>
  </si>
  <si>
    <t>D31516-717</t>
  </si>
  <si>
    <t>SLIDE-ESCAPE, FWD</t>
  </si>
  <si>
    <t>D31517-717</t>
  </si>
  <si>
    <t>SLIDE-ESCAPE, AFT</t>
  </si>
  <si>
    <t>D31865-111</t>
  </si>
  <si>
    <t>SLIDE-OVERWING, LH</t>
  </si>
  <si>
    <t>D31865-112</t>
  </si>
  <si>
    <t>SLIDE-OVERWING, RH</t>
  </si>
  <si>
    <t>D3237010900800</t>
  </si>
  <si>
    <t>VALVE ASSY-SAFETY</t>
  </si>
  <si>
    <t>52-11</t>
  </si>
  <si>
    <t>D5211046020600</t>
  </si>
  <si>
    <t>SEAL</t>
  </si>
  <si>
    <t>D5211143220400</t>
  </si>
  <si>
    <t>CHANNEL SEAL</t>
  </si>
  <si>
    <t>52-13</t>
  </si>
  <si>
    <t>D5211146020600</t>
  </si>
  <si>
    <t>53-15</t>
  </si>
  <si>
    <t>D53132210000</t>
  </si>
  <si>
    <t>RADOME-NOSE</t>
  </si>
  <si>
    <t>54-56</t>
  </si>
  <si>
    <t>D5453036820000</t>
  </si>
  <si>
    <t>KEEL-REAR</t>
  </si>
  <si>
    <t>57-37</t>
  </si>
  <si>
    <t>D5735127600200</t>
  </si>
  <si>
    <t>PANEL</t>
  </si>
  <si>
    <t>D5735127600300</t>
  </si>
  <si>
    <t>D9299140200100</t>
  </si>
  <si>
    <t>HARNESS-CABLE</t>
  </si>
  <si>
    <t>35</t>
  </si>
  <si>
    <t>DG1L124-25</t>
  </si>
  <si>
    <t>CONTAINER ASSY-CHEMICAL OXYGEN,FOUR</t>
  </si>
  <si>
    <t>DG1R124-25</t>
  </si>
  <si>
    <t>DK120-90</t>
  </si>
  <si>
    <t>31-38</t>
  </si>
  <si>
    <t>DLSA100</t>
  </si>
  <si>
    <t>SELECTOR-DATA LOADING</t>
  </si>
  <si>
    <t>DLSU100</t>
  </si>
  <si>
    <t>SELECTOR-DATA LOADING SELECTOR UNIT</t>
  </si>
  <si>
    <t>27-23</t>
  </si>
  <si>
    <t>DV8456701-5</t>
  </si>
  <si>
    <t>TLU-TRAVEL LIMITATION UNIT</t>
  </si>
  <si>
    <t>DVE90-07</t>
  </si>
  <si>
    <t>E03A00</t>
  </si>
  <si>
    <t>VALVE ASSY-FIRE SHUTOFF</t>
  </si>
  <si>
    <t>E21324000-2</t>
  </si>
  <si>
    <t>TRANSMITTER-BRAKE, PEDAL</t>
  </si>
  <si>
    <t>E21326000-2</t>
  </si>
  <si>
    <t>VALVE-SERVO, BRAKE</t>
  </si>
  <si>
    <t>E21327107</t>
  </si>
  <si>
    <t>BSCU-BRAKING AND STEERING CONTR UNIT</t>
  </si>
  <si>
    <t>E21328002</t>
  </si>
  <si>
    <t>ABCU-ALTERNATE BRAKING CONTROL UNIT</t>
  </si>
  <si>
    <t>E21330001-1</t>
  </si>
  <si>
    <t>DIRECT DRIVE VALVE</t>
  </si>
  <si>
    <t>E21336000-1</t>
  </si>
  <si>
    <t>BOX-SENSOR</t>
  </si>
  <si>
    <t>E28180-10</t>
  </si>
  <si>
    <t>E28180-20-0006</t>
  </si>
  <si>
    <t>PBE-PROTECTIVE BREATHING EQUIPMENT</t>
  </si>
  <si>
    <t>31-36</t>
  </si>
  <si>
    <t>ED48A200WR</t>
  </si>
  <si>
    <t>FDIMU-FLT DATA INTERFACE MANAG UNIT</t>
  </si>
  <si>
    <t>EN3155-018M2018</t>
  </si>
  <si>
    <t>CONTACT</t>
  </si>
  <si>
    <t>EV6016-1-00</t>
  </si>
  <si>
    <t>SOLENOID VALVE, BLEED SYSTEM CONTROL</t>
  </si>
  <si>
    <t>F1000320-00</t>
  </si>
  <si>
    <t>LIGHT-EMERGENCY</t>
  </si>
  <si>
    <t>F1000550-20</t>
  </si>
  <si>
    <t>HOUSING</t>
  </si>
  <si>
    <t>FA00914D</t>
  </si>
  <si>
    <t>FILTER, FUEL DOWN STREAM</t>
  </si>
  <si>
    <t>FE240-004</t>
  </si>
  <si>
    <t>CYLINDER-DOOR DAMPER</t>
  </si>
  <si>
    <t>FE240-007</t>
  </si>
  <si>
    <t>FE277-001</t>
  </si>
  <si>
    <t>ACTUATOR-EMERGENCY DOOR DAMPER</t>
  </si>
  <si>
    <t>FH285</t>
  </si>
  <si>
    <t>WR WAVE GUIDE</t>
  </si>
  <si>
    <t>FRH100013A</t>
  </si>
  <si>
    <t>FRH100014A</t>
  </si>
  <si>
    <t>36-12</t>
  </si>
  <si>
    <t>FRH220034V</t>
  </si>
  <si>
    <t>VALVE ASSY-NONRETURN</t>
  </si>
  <si>
    <t>38-41</t>
  </si>
  <si>
    <t>FRH230003C</t>
  </si>
  <si>
    <t>VALVE-PRESSURE REDUCER, RELIEF</t>
  </si>
  <si>
    <t>FRH340003H</t>
  </si>
  <si>
    <t>VALVE-DRAIN, LAVATORY WASTE WATER</t>
  </si>
  <si>
    <t>G2F212-51</t>
  </si>
  <si>
    <t>G2N212-51</t>
  </si>
  <si>
    <t>G6990-40</t>
  </si>
  <si>
    <t>G6992-10</t>
  </si>
  <si>
    <t>GLS01-002-0000</t>
  </si>
  <si>
    <t>SHUT-OFF VALVE, LAVATORY WATER</t>
  </si>
  <si>
    <t>GLS01-021-0000</t>
  </si>
  <si>
    <t>VALVE ASSY-SHUTOFF</t>
  </si>
  <si>
    <t>25-31</t>
  </si>
  <si>
    <t>GLS27-001-0000</t>
  </si>
  <si>
    <t>VALVE -TERMO</t>
  </si>
  <si>
    <t>H321BHM1</t>
  </si>
  <si>
    <t>INDICATOR-STANDBY HORIZON</t>
  </si>
  <si>
    <t>HA70-0214001</t>
  </si>
  <si>
    <t>STANCHION</t>
  </si>
  <si>
    <t>HG2030AE22</t>
  </si>
  <si>
    <t>ADIRU-AIR DATA AND INERTIAL REFERENC</t>
  </si>
  <si>
    <t>HG2030AE23</t>
  </si>
  <si>
    <t>HG2030AE43</t>
  </si>
  <si>
    <t>ADIRU</t>
  </si>
  <si>
    <t>HG2030BE04</t>
  </si>
  <si>
    <t>ADIRU-AIR DATA INERTIAL REFER UNIT</t>
  </si>
  <si>
    <t>28-28</t>
  </si>
  <si>
    <t>HTE190001-2</t>
  </si>
  <si>
    <t>ACTUATOR-TWIN MOTOR</t>
  </si>
  <si>
    <t>HTE200002-1</t>
  </si>
  <si>
    <t>ACTUATOR-VALVE, SINGLE MOTOR</t>
  </si>
  <si>
    <t>HTE310021-1</t>
  </si>
  <si>
    <t>VALVE-AIR INLET</t>
  </si>
  <si>
    <t>28-16</t>
  </si>
  <si>
    <t>HTE420044</t>
  </si>
  <si>
    <t>VALVE-PRESSURE HOLDING</t>
  </si>
  <si>
    <t>HTE420086</t>
  </si>
  <si>
    <t>HTE660020</t>
  </si>
  <si>
    <t>HYDRAULIC SLIDE-COMPENSATED</t>
  </si>
  <si>
    <t>HTE69000-1</t>
  </si>
  <si>
    <t>SWITCH-PRESSURE FUEL</t>
  </si>
  <si>
    <t>29-34</t>
  </si>
  <si>
    <t>HTE690035-1</t>
  </si>
  <si>
    <t>HYD. TANK AIR SWITCH-PRESSURE</t>
  </si>
  <si>
    <t>HTE690047</t>
  </si>
  <si>
    <t>SWITCH-PRESSURE, HOT-AIR</t>
  </si>
  <si>
    <t>28-15</t>
  </si>
  <si>
    <t>HTE900087-001</t>
  </si>
  <si>
    <t>VALVE-TRANSFER, INTERCELL</t>
  </si>
  <si>
    <t>28-24</t>
  </si>
  <si>
    <t>HTE900118-001</t>
  </si>
  <si>
    <t>VALVE-LOW PRESSURE, FUEL</t>
  </si>
  <si>
    <t>HTE900135</t>
  </si>
  <si>
    <t>VALVE-CROSSFEED, FUEL</t>
  </si>
  <si>
    <t>HTE900189</t>
  </si>
  <si>
    <t>VALVE-CONTROL, FUEL</t>
  </si>
  <si>
    <t>J172ABM01</t>
  </si>
  <si>
    <t>ACCELEROMETER UNIT-VERTICAL</t>
  </si>
  <si>
    <t>L95F100-603</t>
  </si>
  <si>
    <t>PROTECTOR-OVERPRESSURE</t>
  </si>
  <si>
    <t>L95F50-603</t>
  </si>
  <si>
    <t>LA2T0G20503B050</t>
  </si>
  <si>
    <t>ATSU-AIR TRAFFIC SERVICES UNIT</t>
  </si>
  <si>
    <t>LA2T0G20705C070</t>
  </si>
  <si>
    <t>AIR TRAFFIC SERVICES UNIT</t>
  </si>
  <si>
    <t>LA2T0G21006CA10</t>
  </si>
  <si>
    <t>M1545-1</t>
  </si>
  <si>
    <t>HOSE</t>
  </si>
  <si>
    <t>M83P1801A</t>
  </si>
  <si>
    <t>25-11</t>
  </si>
  <si>
    <t>MD818ZM/A</t>
  </si>
  <si>
    <t>APPLE USB CABLE</t>
  </si>
  <si>
    <t>MD836ZM/A</t>
  </si>
  <si>
    <t>APPLE CHARGER</t>
  </si>
  <si>
    <t>35-12</t>
  </si>
  <si>
    <t>MF10-05-11</t>
  </si>
  <si>
    <t>FULL FACE QUICK DONNING MASK</t>
  </si>
  <si>
    <t>MF20-534</t>
  </si>
  <si>
    <t>CREW OXYGEN MASK</t>
  </si>
  <si>
    <t>46-00</t>
  </si>
  <si>
    <t>MHJA3AM/A</t>
  </si>
  <si>
    <t>POWER ADAPTER USB-C</t>
  </si>
  <si>
    <t>MM093ZM/A</t>
  </si>
  <si>
    <t>USB CABLE USB-C</t>
  </si>
  <si>
    <t>MP1L2RU/A</t>
  </si>
  <si>
    <t>APPLE IPAD NEW 32GB WI-FI CELLULAR</t>
  </si>
  <si>
    <t>MQ6J3LL/A-A320</t>
  </si>
  <si>
    <t>TABLET APPLE IPAD 2022 64GB WI-FI</t>
  </si>
  <si>
    <t>MR10042N</t>
  </si>
  <si>
    <t>MS28889-2</t>
  </si>
  <si>
    <t>MXP801-11</t>
  </si>
  <si>
    <t>STOWAGE BOX-OXY MASK</t>
  </si>
  <si>
    <t>N40-1B10100-101</t>
  </si>
  <si>
    <t>HANDSET ASSY-COCKPIT</t>
  </si>
  <si>
    <t>N40-1B20215-102</t>
  </si>
  <si>
    <t>HANDSET ASSY-CABIN</t>
  </si>
  <si>
    <t>N40-1B20223-102</t>
  </si>
  <si>
    <t>HANDSET-CABINE ASSY</t>
  </si>
  <si>
    <t>56-11</t>
  </si>
  <si>
    <t>NP165331-1</t>
  </si>
  <si>
    <t>WINDSHIELD-LH</t>
  </si>
  <si>
    <t>NP165331-2</t>
  </si>
  <si>
    <t>WINDSHIELD-RH</t>
  </si>
  <si>
    <t>56-12</t>
  </si>
  <si>
    <t>NP165332A1</t>
  </si>
  <si>
    <t>WINDOW-SLIDING (LH)</t>
  </si>
  <si>
    <t>NP165332A2</t>
  </si>
  <si>
    <t>WINDOW-SLIDING (RH)</t>
  </si>
  <si>
    <t>NP165333A3</t>
  </si>
  <si>
    <t>WINDOW-FIXED ASSY (LH)</t>
  </si>
  <si>
    <t>NP165333A4</t>
  </si>
  <si>
    <t>WINDOW-FIXED ASSY (RH)</t>
  </si>
  <si>
    <t>P2-07-0001-214</t>
  </si>
  <si>
    <t>FLASHLIGHT</t>
  </si>
  <si>
    <t>P2-07-0012-001</t>
  </si>
  <si>
    <t>P2-07-0015-002</t>
  </si>
  <si>
    <t>LED FLASHLIGHT SYSTEM</t>
  </si>
  <si>
    <t>P3APP003010A</t>
  </si>
  <si>
    <t>PORTABLE FIRE EXTINGUISHER</t>
  </si>
  <si>
    <t>P3C0040800</t>
  </si>
  <si>
    <t>SENSOR-TEMPERATURE, PYLON DUCT</t>
  </si>
  <si>
    <t>PG1152BC02</t>
  </si>
  <si>
    <t>ADM-AIR DATA MODULE</t>
  </si>
  <si>
    <t>PGA0105W</t>
  </si>
  <si>
    <t>COMPASS-STANDBY</t>
  </si>
  <si>
    <t>PL88-900LH00</t>
  </si>
  <si>
    <t>LIGHT-AISLE</t>
  </si>
  <si>
    <t>26-16</t>
  </si>
  <si>
    <t>PPA1103-00</t>
  </si>
  <si>
    <t>DETECTOR-SMOKE, CARGO</t>
  </si>
  <si>
    <t>26-17</t>
  </si>
  <si>
    <t>PPA1204-00</t>
  </si>
  <si>
    <t>DETECTOR-SMOKE, LAVATORY</t>
  </si>
  <si>
    <t>PPC1100-00</t>
  </si>
  <si>
    <t>PPC1200-00</t>
  </si>
  <si>
    <t>PRB14-14J4S</t>
  </si>
  <si>
    <t>JOINT-SWIVEL</t>
  </si>
  <si>
    <t>PRB14-14J6S</t>
  </si>
  <si>
    <t>PS102</t>
  </si>
  <si>
    <t>YAW DAMPER SERVO ACTUATOR SWITCH PRE</t>
  </si>
  <si>
    <t>QA03995</t>
  </si>
  <si>
    <t>FILTER</t>
  </si>
  <si>
    <t>29-14</t>
  </si>
  <si>
    <t>QA08051</t>
  </si>
  <si>
    <t>RESERVOIR-PRESSURE UNIT</t>
  </si>
  <si>
    <t>QB0553</t>
  </si>
  <si>
    <t>SYPHON ASSY</t>
  </si>
  <si>
    <t>RAI2800M0706</t>
  </si>
  <si>
    <t>SDCU-SMOKE DETECTOR CONTROL UNI</t>
  </si>
  <si>
    <t>RCF6708</t>
  </si>
  <si>
    <t>REGULATOR TRANSMITTER</t>
  </si>
  <si>
    <t>RCF6717</t>
  </si>
  <si>
    <t>REGULATOR TRANSMITTER-PRESSURE</t>
  </si>
  <si>
    <t>RP195-03</t>
  </si>
  <si>
    <t>SENSOR-TEMPERATURE, T12</t>
  </si>
  <si>
    <t>RP198-01</t>
  </si>
  <si>
    <t>SENSOR, TEMP T12</t>
  </si>
  <si>
    <t>RP216-00</t>
  </si>
  <si>
    <t>SENSOR, TEMP T25</t>
  </si>
  <si>
    <t>S005-4</t>
  </si>
  <si>
    <t>CONTROL MODULE, TRAVEL LIMITATION UN</t>
  </si>
  <si>
    <t>S1819502-02</t>
  </si>
  <si>
    <t>ELT FIXED</t>
  </si>
  <si>
    <t>S1820513-02</t>
  </si>
  <si>
    <t>S1821502-02</t>
  </si>
  <si>
    <t>ELT EMERGENCY LOCATOR TRANSMITTER</t>
  </si>
  <si>
    <t>S700Y0883</t>
  </si>
  <si>
    <t>CORE FIRE DETECTOR</t>
  </si>
  <si>
    <t>S702Y0443</t>
  </si>
  <si>
    <t>DETECTOR-CORE FIRE</t>
  </si>
  <si>
    <t>SB209L1A1-1484</t>
  </si>
  <si>
    <t>ACCUMULATOR-HYDRAULIC</t>
  </si>
  <si>
    <t>SC4700-5</t>
  </si>
  <si>
    <t>SERVO ACTUATOR-YAW DAMPER</t>
  </si>
  <si>
    <t>SIC5059-14-20</t>
  </si>
  <si>
    <t>FUEL QUANTITY COMPUTER, FQI</t>
  </si>
  <si>
    <t>SPC0300</t>
  </si>
  <si>
    <t>CARD-PCMCIA, WEFA</t>
  </si>
  <si>
    <t>ST3100-23-30</t>
  </si>
  <si>
    <t>HANDSET</t>
  </si>
  <si>
    <t>ST3100-27-32</t>
  </si>
  <si>
    <t>HANDSET-CABIN</t>
  </si>
  <si>
    <t>ST3100-33-10</t>
  </si>
  <si>
    <t>HANDSET-COCKPIT</t>
  </si>
  <si>
    <t>TAAI3-03CE21-01</t>
  </si>
  <si>
    <t>SEAT-FIRST OFFICER</t>
  </si>
  <si>
    <t>TAAI3-03CE22-01</t>
  </si>
  <si>
    <t>TAAI3-03PE21-01</t>
  </si>
  <si>
    <t>SEAT-CAPTAIN</t>
  </si>
  <si>
    <t>TAAI3-03PE22-01</t>
  </si>
  <si>
    <t>TAAI4-404000-01</t>
  </si>
  <si>
    <t>ARMREST, ASSY CAPT</t>
  </si>
  <si>
    <t>TAAI4-404000-02</t>
  </si>
  <si>
    <t>ARMREST, ASSIST, FIRST OFFICER ASSY</t>
  </si>
  <si>
    <t>TC201-01</t>
  </si>
  <si>
    <t>SENSOR-TEMP OIL</t>
  </si>
  <si>
    <t>TC315-02</t>
  </si>
  <si>
    <t>HARNESS-WIRING EGT 2 TERMOCOUPLE</t>
  </si>
  <si>
    <t>TC316-02</t>
  </si>
  <si>
    <t>HARNESS-WIRING EGT 3 TERMOCOUPLE</t>
  </si>
  <si>
    <t>TLS755-01-0101B</t>
  </si>
  <si>
    <t>RECEIVER-MMR</t>
  </si>
  <si>
    <t>TY2091-01A</t>
  </si>
  <si>
    <t>LATCH PRIMARY LOCK</t>
  </si>
  <si>
    <t>TY2092-22</t>
  </si>
  <si>
    <t>CONTROL UNIT, HYDRAULIC</t>
  </si>
  <si>
    <t>V2T127D</t>
  </si>
  <si>
    <t>VALVE-BUTTERFLY, AIR</t>
  </si>
  <si>
    <t>V2T152D</t>
  </si>
  <si>
    <t>VALVE-BUTTERFLY</t>
  </si>
  <si>
    <t>21-28</t>
  </si>
  <si>
    <t>VD3810</t>
  </si>
  <si>
    <t>FAN-MIXED FLOW</t>
  </si>
  <si>
    <t>21-23</t>
  </si>
  <si>
    <t>VD3920</t>
  </si>
  <si>
    <t>FAN-EXTRACTION</t>
  </si>
  <si>
    <t>VFT210B00</t>
  </si>
  <si>
    <t>VALVE-SKIN AIR</t>
  </si>
  <si>
    <t>VFT300B00</t>
  </si>
  <si>
    <t>VG17-01</t>
  </si>
  <si>
    <t>SENSOR-POSITION, VBV</t>
  </si>
  <si>
    <t>VG22-01</t>
  </si>
  <si>
    <t>SENSOR, POSITION VBV</t>
  </si>
  <si>
    <t>38-11</t>
  </si>
  <si>
    <t>VT061-71B</t>
  </si>
  <si>
    <t>TRANSMITTER-WATER CONTENTS</t>
  </si>
  <si>
    <t>24-34</t>
  </si>
  <si>
    <t>Y192</t>
  </si>
  <si>
    <t>TR-TRANSFORMER RECTIFIER</t>
  </si>
  <si>
    <t>YT000035431</t>
  </si>
  <si>
    <t>USB CABLE USB- A – USB- C</t>
  </si>
  <si>
    <t>CN</t>
  </si>
  <si>
    <t>Z010H000521A</t>
  </si>
  <si>
    <t>CIDS DIRECTOR</t>
  </si>
  <si>
    <t>Z014H000231B</t>
  </si>
  <si>
    <t>Z014H000333B</t>
  </si>
  <si>
    <t>DIRECTOR-CIDS</t>
  </si>
  <si>
    <t>Z014H010035B</t>
  </si>
  <si>
    <t>Z020H0001112</t>
  </si>
  <si>
    <t>PROGRAMMING AND TEST PANEL</t>
  </si>
  <si>
    <t>Z030H0005110</t>
  </si>
  <si>
    <t>DECODER ENCODER UNIT A</t>
  </si>
  <si>
    <t>Z033H0003112</t>
  </si>
  <si>
    <t>DEU-DECODER ENCODER UNIT A</t>
  </si>
  <si>
    <t>Z040H000820A</t>
  </si>
  <si>
    <t>DECODER ENCODER UNIT B</t>
  </si>
  <si>
    <t>Z043H000351A</t>
  </si>
  <si>
    <t>DEU-DECODER ENCODER UNIT B</t>
  </si>
  <si>
    <t>Z130H0739110</t>
  </si>
  <si>
    <t>FAP-FLIGHT ATTENDANT PANEL (120RH)</t>
  </si>
  <si>
    <t>Z130H0760110</t>
  </si>
  <si>
    <t>Z130H0851110</t>
  </si>
  <si>
    <t>FAP</t>
  </si>
  <si>
    <t>Z133H041951A</t>
  </si>
  <si>
    <t>FLIGHT ATTENDANT PANEL</t>
  </si>
  <si>
    <t>Z145H0043120</t>
  </si>
  <si>
    <t>FAP-FLIGHT ATDNT PANEL, MULTI PURPOS</t>
  </si>
  <si>
    <t>Z145H0653120</t>
  </si>
  <si>
    <t>Z212H0001110</t>
  </si>
  <si>
    <t>CONTROL UNIT</t>
  </si>
  <si>
    <t>Z212H0002110</t>
  </si>
  <si>
    <t>25-27</t>
  </si>
  <si>
    <t>Z212H0010110</t>
  </si>
  <si>
    <t>Z220H0002110</t>
  </si>
  <si>
    <t>Z250H2103110</t>
  </si>
  <si>
    <t>READING LIGHT POWER UNIT</t>
  </si>
  <si>
    <t>33-27</t>
  </si>
  <si>
    <t>Z250H2111110</t>
  </si>
  <si>
    <t>Z250H2112110</t>
  </si>
  <si>
    <t>Z312H2000110</t>
  </si>
  <si>
    <t>PISA SA, PSU</t>
  </si>
  <si>
    <t>Z315H2000110</t>
  </si>
  <si>
    <t>PISA-PASSENGER INTERFACE AND SUPPLY</t>
  </si>
  <si>
    <t>Z317H2000110</t>
  </si>
  <si>
    <t>PISA-PASS INTERFACE AND SUPPLY ADAPT</t>
  </si>
  <si>
    <t>ZAW623-01</t>
  </si>
  <si>
    <t>TRANSDUCER-PRESSURE</t>
  </si>
  <si>
    <t>ZCV63-6-7</t>
  </si>
  <si>
    <t>ZRA380-00</t>
  </si>
  <si>
    <t>PRESSURE-TRANSDUCER</t>
  </si>
  <si>
    <t xml:space="preserve">HBS Distribution </t>
  </si>
  <si>
    <t>Part Number</t>
  </si>
  <si>
    <t>Description</t>
  </si>
  <si>
    <t>Alternates</t>
  </si>
  <si>
    <t>On Order</t>
  </si>
  <si>
    <t>Ideal Qty DME</t>
  </si>
  <si>
    <t>Stock Qty DME</t>
  </si>
  <si>
    <t>Transfer Qty DME</t>
  </si>
  <si>
    <t>Reorder Qty DME</t>
  </si>
  <si>
    <t>Выдача на ВС за 1 год DME</t>
  </si>
  <si>
    <t>Ideal Qty OVB</t>
  </si>
  <si>
    <t>Stock Qty OVB</t>
  </si>
  <si>
    <t>Transfer Qty OVB</t>
  </si>
  <si>
    <t>Reorder Qty OVB</t>
  </si>
  <si>
    <t>Выдача на ВС за 1 год OVB</t>
  </si>
  <si>
    <t>Ideal Qty MRV</t>
  </si>
  <si>
    <t>Stock Qty MRV</t>
  </si>
  <si>
    <t>Transfer Qty MRV</t>
  </si>
  <si>
    <t>Reorder Qty MRV</t>
  </si>
  <si>
    <t>Выдача на ВС за 1 год MRV</t>
  </si>
  <si>
    <t>Ideal Qty VVO</t>
  </si>
  <si>
    <t>Stock Qty VVO</t>
  </si>
  <si>
    <t>Transfer Qty VVO</t>
  </si>
  <si>
    <t>Reorder Qty VVO</t>
  </si>
  <si>
    <t>Выдача на ВС за 1 год VVO</t>
  </si>
  <si>
    <t>Ideal Qty LED</t>
  </si>
  <si>
    <t>Stock Qty LED</t>
  </si>
  <si>
    <t>Transfer Qty LED</t>
  </si>
  <si>
    <t>Reorder Qty LED</t>
  </si>
  <si>
    <t>Выдача на ВС за 1 год LED</t>
  </si>
  <si>
    <t>Ideal Qty VKV</t>
  </si>
  <si>
    <t>Stock Qty VKV</t>
  </si>
  <si>
    <t>Transfer Qty VKV</t>
  </si>
  <si>
    <t>Reorder Qty VKV</t>
  </si>
  <si>
    <t>Выдача на ВС за 1 год VKV</t>
  </si>
  <si>
    <t>Ideal Qty KJA</t>
  </si>
  <si>
    <t>Stock Qty KJA</t>
  </si>
  <si>
    <t>Transfer Qty KJA</t>
  </si>
  <si>
    <t>Reorder Qty KJA</t>
  </si>
  <si>
    <t>Выдача на ВС за 1 год KJA</t>
  </si>
  <si>
    <t>Ideal Qty IKT</t>
  </si>
  <si>
    <t>Stock Qty IKT</t>
  </si>
  <si>
    <t>Transfer Qty IKT</t>
  </si>
  <si>
    <t>Reorder Qty IKT</t>
  </si>
  <si>
    <t>Выдача на ВС за 1 год IKT</t>
  </si>
  <si>
    <t>Reorder  Qty All</t>
  </si>
  <si>
    <t>045-250-015,HME45KA,HME46K</t>
  </si>
  <si>
    <t>0621-01A5401EPA</t>
  </si>
  <si>
    <t>064-50000-2052,965-1696-051</t>
  </si>
  <si>
    <t>066-01212-0102,TAC-6001/03</t>
  </si>
  <si>
    <t>066-50013-0232,066-50013-1212,066-50013-1222</t>
  </si>
  <si>
    <t>066-50014-1202</t>
  </si>
  <si>
    <t>071-50026-0300</t>
  </si>
  <si>
    <t>25R0017,25R0038</t>
  </si>
  <si>
    <t>0871DP4</t>
  </si>
  <si>
    <t>2A350-1AS1830</t>
  </si>
  <si>
    <t>5326831</t>
  </si>
  <si>
    <t>1018277-1,5306858</t>
  </si>
  <si>
    <t>1033753,5306763,5331134</t>
  </si>
  <si>
    <t>642D5751-503</t>
  </si>
  <si>
    <t>5326786</t>
  </si>
  <si>
    <t>5315145</t>
  </si>
  <si>
    <t>1020901-3,5315125,5331352</t>
  </si>
  <si>
    <t>5315124</t>
  </si>
  <si>
    <t>5315200</t>
  </si>
  <si>
    <t>5315193,5329981</t>
  </si>
  <si>
    <t>1020929-2,5323329</t>
  </si>
  <si>
    <t>1020934-3,5323876,5327985</t>
  </si>
  <si>
    <t>5324861</t>
  </si>
  <si>
    <t>5329494</t>
  </si>
  <si>
    <t>5315322</t>
  </si>
  <si>
    <t>5321268</t>
  </si>
  <si>
    <t>5324893</t>
  </si>
  <si>
    <t>5327403,5327772</t>
  </si>
  <si>
    <t>114193010,201590002-020</t>
  </si>
  <si>
    <t>106-1-1100-02</t>
  </si>
  <si>
    <t>10-631045-2,45570-1,9238M66P08,9238M66P11</t>
  </si>
  <si>
    <t>116854-507,238D0561-507</t>
  </si>
  <si>
    <t>114087005,114087040</t>
  </si>
  <si>
    <t>1158000-21R,1158000/45</t>
  </si>
  <si>
    <t>4315542,4331772,727-1213-01,727-1213-02,727-1213-03,727-1213-04</t>
  </si>
  <si>
    <t>11-841193-2,11-841193-3,11-841193M1,301-780-602-0,301-780-704-0,45332-8039</t>
  </si>
  <si>
    <t>3601-91</t>
  </si>
  <si>
    <t>121664-12,121664-4,301-801-301-0</t>
  </si>
  <si>
    <t>301-776-306-0</t>
  </si>
  <si>
    <t>121666-13</t>
  </si>
  <si>
    <t>121666-17,121666-21,121666-8</t>
  </si>
  <si>
    <t>301-777-702-0</t>
  </si>
  <si>
    <t>E140375-4</t>
  </si>
  <si>
    <t>1263A0000-02,1263C0000-01</t>
  </si>
  <si>
    <t>1303A0000-01,1303A0000-02,1303A0000-03</t>
  </si>
  <si>
    <t>1320A0000-03</t>
  </si>
  <si>
    <t>1407KID-01-02,1407KID01-02,1407KID-02-03</t>
  </si>
  <si>
    <t>14320-020</t>
  </si>
  <si>
    <t>14320-230-207</t>
  </si>
  <si>
    <t>14330-004A1,14330-004B1,14330-514-205</t>
  </si>
  <si>
    <t>14330-004A2,14330-004B2,14330-514-206</t>
  </si>
  <si>
    <t>14330-350</t>
  </si>
  <si>
    <t>301-786-802-0,6237M99C</t>
  </si>
  <si>
    <t>G1L124-25</t>
  </si>
  <si>
    <t>14C15L215460100,DG1L124-77,G1L124-77</t>
  </si>
  <si>
    <t>G1R124-25</t>
  </si>
  <si>
    <t>14C15R215460100,DG1R124-77,G1R124-77</t>
  </si>
  <si>
    <t>15800-358</t>
  </si>
  <si>
    <t>CH38013</t>
  </si>
  <si>
    <t>1706903,772181A</t>
  </si>
  <si>
    <t>5327092</t>
  </si>
  <si>
    <t>17300G12</t>
  </si>
  <si>
    <t>1777MK3,5L0057</t>
  </si>
  <si>
    <t>3001-01-111,971-4193-001</t>
  </si>
  <si>
    <t>71103A010101</t>
  </si>
  <si>
    <t>1806B0000-02,1806D0000-01</t>
  </si>
  <si>
    <t>201371286</t>
  </si>
  <si>
    <t>10-451301-000,201399007</t>
  </si>
  <si>
    <t>10-451401-000,201399008</t>
  </si>
  <si>
    <t>201400005</t>
  </si>
  <si>
    <t>10-451601-000</t>
  </si>
  <si>
    <t>201419001-010</t>
  </si>
  <si>
    <t>201522281</t>
  </si>
  <si>
    <t>10-451701-000,114193010,201590002-020</t>
  </si>
  <si>
    <t>20499003</t>
  </si>
  <si>
    <t>20499005</t>
  </si>
  <si>
    <t>2056A0000-02,2056B0000-01,2056C0000-02,2056D0000-01,749A0000-02</t>
  </si>
  <si>
    <t>3261217-0101</t>
  </si>
  <si>
    <t>2100-1226-02,2100-1228-02</t>
  </si>
  <si>
    <t>2100-1226-02</t>
  </si>
  <si>
    <t>2100-4045-00,2100-4245-00</t>
  </si>
  <si>
    <t>2100-4045-00,980-4750-002</t>
  </si>
  <si>
    <t>FRH220033V</t>
  </si>
  <si>
    <t>2290B020000,2293B010000</t>
  </si>
  <si>
    <t>22C15L150320009,G2F212-85</t>
  </si>
  <si>
    <t>22G150150460400,DG2F212-77,G2F212-77</t>
  </si>
  <si>
    <t>2438-89-00 AMDT B</t>
  </si>
  <si>
    <t>2407-89-03</t>
  </si>
  <si>
    <t>20791-13AD</t>
  </si>
  <si>
    <t>068-E5542-00,068E5542-00,266-E5542-00,DK120-90,DK120/90</t>
  </si>
  <si>
    <t>410946</t>
  </si>
  <si>
    <t>9508175</t>
  </si>
  <si>
    <t>2980292100100</t>
  </si>
  <si>
    <t>0154JU</t>
  </si>
  <si>
    <t>2LA005541-10</t>
  </si>
  <si>
    <t>2LA005543-10</t>
  </si>
  <si>
    <t>2LA456510-02</t>
  </si>
  <si>
    <t>30042-0601</t>
  </si>
  <si>
    <t>2LA456335-02,30-1883-6,4383137,8000960Y00</t>
  </si>
  <si>
    <t>30-1883-3,4383121,8000959Y00</t>
  </si>
  <si>
    <t>31075-670</t>
  </si>
  <si>
    <t>3-1531,3-1531-1,3-1531-30PT1,3-1531-30PT3,3-1531-3OPT1</t>
  </si>
  <si>
    <t>320-549-002-0,320-549-003-0,320-549-004-0,3218KGB01</t>
  </si>
  <si>
    <t>320-557-502-0,3213KGB01</t>
  </si>
  <si>
    <t>321-400-603-0</t>
  </si>
  <si>
    <t>ABS-3214-30</t>
  </si>
  <si>
    <t>715TS06Y11</t>
  </si>
  <si>
    <t>3250-31</t>
  </si>
  <si>
    <t>3250-81</t>
  </si>
  <si>
    <t>324195-1,327155-1,327155-2,327155-4,642D0010-507</t>
  </si>
  <si>
    <t>3282970-3,3282970-4</t>
  </si>
  <si>
    <t>1853M12P04,3291390-2</t>
  </si>
  <si>
    <t>3291432-1</t>
  </si>
  <si>
    <t>301-810-604-0,3290064-20,3291556-2</t>
  </si>
  <si>
    <t>1520M27P08,1960M28P05,1960M28P06,1960M28P07,1960M28P09,326635-4,329695-5,329695-8</t>
  </si>
  <si>
    <t>33600105-2</t>
  </si>
  <si>
    <t>336-007-736-0,336-007-744-0,336-007-745-0</t>
  </si>
  <si>
    <t>336-030-105-0,336-030-109-0</t>
  </si>
  <si>
    <t>336-030-407-0</t>
  </si>
  <si>
    <t>336-065-013-0</t>
  </si>
  <si>
    <t>338-002-113-0</t>
  </si>
  <si>
    <t>338-067-014-0</t>
  </si>
  <si>
    <t>338-073-009-0,338-073-010-0,338-073-012-0</t>
  </si>
  <si>
    <t>338-079-507-0,338-079-508-0</t>
  </si>
  <si>
    <t>338-107-501-0</t>
  </si>
  <si>
    <t>341E010000</t>
  </si>
  <si>
    <t>341F020000</t>
  </si>
  <si>
    <t>342B030000,342B040000</t>
  </si>
  <si>
    <t>301-812-402-0,3505582-27,3505582-65</t>
  </si>
  <si>
    <t>35-0D5-1002</t>
  </si>
  <si>
    <t>35-0L0-1001-04,35-0L0-1002-05</t>
  </si>
  <si>
    <t>35-0L5-1005-08,35.0L5.1005.08,35-0L5-1006-08,35-0L5-1107-08</t>
  </si>
  <si>
    <t>04-035518-048-400</t>
  </si>
  <si>
    <t>3552AAAEAACXCD</t>
  </si>
  <si>
    <t>3616140-10,3616140-6,3616140-7,70723947-1</t>
  </si>
  <si>
    <t>11-851154-5,11-851154-6</t>
  </si>
  <si>
    <t>53179-13</t>
  </si>
  <si>
    <t>B55968-004</t>
  </si>
  <si>
    <t>10-617075-6,3888058-7</t>
  </si>
  <si>
    <t>3888394-221204,3888579-201</t>
  </si>
  <si>
    <t>38E93-5</t>
  </si>
  <si>
    <t>3906130302,3906130402,3907130302</t>
  </si>
  <si>
    <t>301-774-709-0</t>
  </si>
  <si>
    <t>4089740-960,D50A000-100</t>
  </si>
  <si>
    <t>4100837G</t>
  </si>
  <si>
    <t>4101002-11,4101002-9</t>
  </si>
  <si>
    <t>4101099G</t>
  </si>
  <si>
    <t>4188-00</t>
  </si>
  <si>
    <t>4197-10-01,4197-10-02</t>
  </si>
  <si>
    <t>4197-20-01,4197-20-02</t>
  </si>
  <si>
    <t>238D1015-507</t>
  </si>
  <si>
    <t>3031863-001,3031863-002,4205400,887673</t>
  </si>
  <si>
    <t>50-0164-5,727-1215-01,8000283Y00</t>
  </si>
  <si>
    <t>2LA456292-01,8000282Y00</t>
  </si>
  <si>
    <t>430153</t>
  </si>
  <si>
    <t>441921-4,70722365-1,70722365-2</t>
  </si>
  <si>
    <t>1527M33P08,1527M33P10,44E64-6</t>
  </si>
  <si>
    <t>4500001C</t>
  </si>
  <si>
    <t>4500003M</t>
  </si>
  <si>
    <t>4501259A,4501259B</t>
  </si>
  <si>
    <t>301-789-102-0</t>
  </si>
  <si>
    <t>301-790-101-0</t>
  </si>
  <si>
    <t>238D1024-505</t>
  </si>
  <si>
    <t>465020-0303-0316</t>
  </si>
  <si>
    <t>47145-133,47145-233,47145-237,47145-247,47145-248,47145-267</t>
  </si>
  <si>
    <t>1663214301,1663214401</t>
  </si>
  <si>
    <t>473873-8</t>
  </si>
  <si>
    <t>7702-04</t>
  </si>
  <si>
    <t>9049000-1</t>
  </si>
  <si>
    <t>4953795-1</t>
  </si>
  <si>
    <t>4953795-2</t>
  </si>
  <si>
    <t>4951546,4952590</t>
  </si>
  <si>
    <t>4954220</t>
  </si>
  <si>
    <t>501-1-14561-004</t>
  </si>
  <si>
    <t>A88004-005</t>
  </si>
  <si>
    <t>5009913E,5009913F</t>
  </si>
  <si>
    <t>503CA02F1-02Y1</t>
  </si>
  <si>
    <t>2123M62P01</t>
  </si>
  <si>
    <t>2123M63P02,2123M63P03,510846-1</t>
  </si>
  <si>
    <t>4205602,4205603,4205604,632700-1001</t>
  </si>
  <si>
    <t>72303102-4,72303102-6,72303102-8</t>
  </si>
  <si>
    <t>72303102-3,72303102-7</t>
  </si>
  <si>
    <t>5373090-01</t>
  </si>
  <si>
    <t>5500-A1ABF23A</t>
  </si>
  <si>
    <t>564CA01Y1</t>
  </si>
  <si>
    <t>564CA04F20Y00</t>
  </si>
  <si>
    <t>568-1-27202-006,568-1-27202-05R</t>
  </si>
  <si>
    <t>1111A0000-01</t>
  </si>
  <si>
    <t>5860017-144</t>
  </si>
  <si>
    <t>5A1710</t>
  </si>
  <si>
    <t>9045405-7</t>
  </si>
  <si>
    <t>5XA005033-00</t>
  </si>
  <si>
    <t>600700-00-502</t>
  </si>
  <si>
    <t>S72-1712-8</t>
  </si>
  <si>
    <t>622-8701-003</t>
  </si>
  <si>
    <t>62292-109</t>
  </si>
  <si>
    <t>62292-110</t>
  </si>
  <si>
    <t>62293-109</t>
  </si>
  <si>
    <t>62293-110</t>
  </si>
  <si>
    <t>630CC01Y1</t>
  </si>
  <si>
    <t>636D0002-507-S,636D0002-515</t>
  </si>
  <si>
    <t>636D0002-517</t>
  </si>
  <si>
    <t>636D0002-519</t>
  </si>
  <si>
    <t>640CC01Y1</t>
  </si>
  <si>
    <t>64300-110</t>
  </si>
  <si>
    <t>655CC01Y1,655CC04A0Y00</t>
  </si>
  <si>
    <t>6730C010000</t>
  </si>
  <si>
    <t>6773E010000</t>
  </si>
  <si>
    <t>6714D070000,6774B030000</t>
  </si>
  <si>
    <t>3540000-1</t>
  </si>
  <si>
    <t>69000942-251</t>
  </si>
  <si>
    <t>6A4700,6A6521,6A7654,6A7655</t>
  </si>
  <si>
    <t>70645A030001</t>
  </si>
  <si>
    <t>70654A020001</t>
  </si>
  <si>
    <t>528-80,72303102-3</t>
  </si>
  <si>
    <t>528-70,72303102-4</t>
  </si>
  <si>
    <t>301-797-402-0,714900-5</t>
  </si>
  <si>
    <t>64882-206-1</t>
  </si>
  <si>
    <t>7319605,A68793-002,A68793-007</t>
  </si>
  <si>
    <t>733901-1-1,785-002-8,785002-9</t>
  </si>
  <si>
    <t>416-00318-003</t>
  </si>
  <si>
    <t>740119D,740119E,740119G</t>
  </si>
  <si>
    <t>740121A</t>
  </si>
  <si>
    <t>74-110-4</t>
  </si>
  <si>
    <t>1708337B4</t>
  </si>
  <si>
    <t>746A0000-05</t>
  </si>
  <si>
    <t>753A0000-03,753A0000-03 AMDT A,753A0000-04,753B0000-03,753C0000-01,753C0000-02</t>
  </si>
  <si>
    <t>754A0000-03,754A0000-03 AMDT A,754A0000-03AMDTA,754C0000-01</t>
  </si>
  <si>
    <t>755A0000-04,755C0000-01,755D0000-01 AMDT A</t>
  </si>
  <si>
    <t>759D0000-01</t>
  </si>
  <si>
    <t>761A0000-03,761A0000-04</t>
  </si>
  <si>
    <t>763A0000-02</t>
  </si>
  <si>
    <t>764A0000-01</t>
  </si>
  <si>
    <t>764B0000-02</t>
  </si>
  <si>
    <t>762308,762308A,762308B,766352,766352A</t>
  </si>
  <si>
    <t>769B0000-02</t>
  </si>
  <si>
    <t>3214-62-10</t>
  </si>
  <si>
    <t>775C0000-04</t>
  </si>
  <si>
    <t>780A0000-01,780A0000-02</t>
  </si>
  <si>
    <t>787A0000-09,787A0000-10</t>
  </si>
  <si>
    <t>790425A9</t>
  </si>
  <si>
    <t>796-809-5,796-809-6</t>
  </si>
  <si>
    <t>796-815-01-02,796815-02-03</t>
  </si>
  <si>
    <t>2LA456343-00,4236534,50-0177-1,8000281Y00</t>
  </si>
  <si>
    <t>80-178-04-88013</t>
  </si>
  <si>
    <t>1348M79P13,1348M79P14,8061-526,8061-532,8061-535</t>
  </si>
  <si>
    <t>8061-639</t>
  </si>
  <si>
    <t>810A0000-05</t>
  </si>
  <si>
    <t>822-2325-020</t>
  </si>
  <si>
    <t>822-1250-020,822-1287-120,822-1287-121</t>
  </si>
  <si>
    <t>822-1710-213</t>
  </si>
  <si>
    <t>822-1710-204</t>
  </si>
  <si>
    <t>822-1710-401</t>
  </si>
  <si>
    <t>831C0000-02</t>
  </si>
  <si>
    <t>85-16-12022-05</t>
  </si>
  <si>
    <t>87232329V03</t>
  </si>
  <si>
    <t>8-933-01AEC,ABS0121-40</t>
  </si>
  <si>
    <t>8ES455440-06</t>
  </si>
  <si>
    <t>8ES005045-00,8ES455012-00</t>
  </si>
  <si>
    <t>8ES005309-00</t>
  </si>
  <si>
    <t>1853M47P02,2124M20P01,505864-1</t>
  </si>
  <si>
    <t>1324M10P02</t>
  </si>
  <si>
    <t>1853M48P04,8TJ167GHW1</t>
  </si>
  <si>
    <t>9024-15704-03</t>
  </si>
  <si>
    <t>9043110-3,9387M24P09,9387M24P16</t>
  </si>
  <si>
    <t>1374M12P01,1374M12P10,1374M13P11,9044035-1,CH31900,CH31900-6</t>
  </si>
  <si>
    <t>3721-00</t>
  </si>
  <si>
    <t>1324M94P02,1324M94P03,8TC19AAH1</t>
  </si>
  <si>
    <t>2697A0000-01</t>
  </si>
  <si>
    <t>2695A0000-01</t>
  </si>
  <si>
    <t>2687A0000-01</t>
  </si>
  <si>
    <t>940-0351-006</t>
  </si>
  <si>
    <t>L32A320-20</t>
  </si>
  <si>
    <t>964-0452-052</t>
  </si>
  <si>
    <t>9650976003206</t>
  </si>
  <si>
    <t>9700-C1A-BF23A,9F4027-507</t>
  </si>
  <si>
    <t>693335</t>
  </si>
  <si>
    <t>2100-1020-02,2100-1025-02,2100-1228-02,980-6032-020</t>
  </si>
  <si>
    <t>A25313002</t>
  </si>
  <si>
    <t>A25315020-2</t>
  </si>
  <si>
    <t>238D1025-511,A3068-1,A3068-7,A3410-2E</t>
  </si>
  <si>
    <t>A35104-1</t>
  </si>
  <si>
    <t>A68982,A68982-002</t>
  </si>
  <si>
    <t>73195,A68793-002,A88008-002,A88008-2</t>
  </si>
  <si>
    <t>AA1051-00</t>
  </si>
  <si>
    <t>ACP2788AB-04,ACP2788AD01</t>
  </si>
  <si>
    <t>ACP2788AB05</t>
  </si>
  <si>
    <t>EVT3454H,EVT3454HC,EVT3454HM01</t>
  </si>
  <si>
    <t>238D0660-503</t>
  </si>
  <si>
    <t>238D0712-503,238D0712-505,AE707422-3</t>
  </si>
  <si>
    <t>AMU2790CB-06</t>
  </si>
  <si>
    <t>APE5100-1</t>
  </si>
  <si>
    <t>AR4709-303</t>
  </si>
  <si>
    <t>AR4714-201</t>
  </si>
  <si>
    <t>815101-1</t>
  </si>
  <si>
    <t>5913667-4,BA03604</t>
  </si>
  <si>
    <t>BA24320A-1</t>
  </si>
  <si>
    <t>C12848CA01</t>
  </si>
  <si>
    <t>C12CB0010</t>
  </si>
  <si>
    <t>C16221VA01,C16221WB01,C16786EA01</t>
  </si>
  <si>
    <t>C19266DA01</t>
  </si>
  <si>
    <t>C20195162A</t>
  </si>
  <si>
    <t>C20464001MT,C20464002</t>
  </si>
  <si>
    <t>C20500000</t>
  </si>
  <si>
    <t>C20534100</t>
  </si>
  <si>
    <t>C20225508,C20225509,C20225510,C20780001,C20780002</t>
  </si>
  <si>
    <t>C24703001-401,C24703003</t>
  </si>
  <si>
    <t>C25149000,C25149000-2</t>
  </si>
  <si>
    <t>301-796-304-0,301-796-312-0,C25175100-1</t>
  </si>
  <si>
    <t>301-795-904-0,CA170-00,CA170-01,CA170-02</t>
  </si>
  <si>
    <t>301-796-004-0,CA171-00,CA171-01,CA171-02</t>
  </si>
  <si>
    <t>301-800-104-0,CA172-02,CA172-04</t>
  </si>
  <si>
    <t>CGDU3000-00</t>
  </si>
  <si>
    <t>CH31964</t>
  </si>
  <si>
    <t>321-400-208-0,D23090000-6</t>
  </si>
  <si>
    <t>D23119751</t>
  </si>
  <si>
    <t>D2557166000000,S7E-D2557123600000</t>
  </si>
  <si>
    <t>D2557153000000</t>
  </si>
  <si>
    <t>D31516-617,D31516-917</t>
  </si>
  <si>
    <t>D31517-617,D31517-715,D31517-915,D31517-917</t>
  </si>
  <si>
    <t>D31865-309</t>
  </si>
  <si>
    <t>D31865-310</t>
  </si>
  <si>
    <t>D5211598220000</t>
  </si>
  <si>
    <t>D5211146020600WE</t>
  </si>
  <si>
    <t>D53132110000</t>
  </si>
  <si>
    <t>D5453036800000,D5453036800001</t>
  </si>
  <si>
    <t>D5735127600253,N5735127600200</t>
  </si>
  <si>
    <t>D5735127600353,N5735127600300</t>
  </si>
  <si>
    <t>266E5542-00,316-6004-009,DK120,DK120/90,ELP362D,ELP-362D90,ELP362D90</t>
  </si>
  <si>
    <t>DVE90-06</t>
  </si>
  <si>
    <t>E21326000-1</t>
  </si>
  <si>
    <t>E21327006,E21327106</t>
  </si>
  <si>
    <t>E21330000-1,E21330001-1/A</t>
  </si>
  <si>
    <t>E21336000</t>
  </si>
  <si>
    <t>E28180-20-0001,E28180-20-0006</t>
  </si>
  <si>
    <t>E28180-10,E28180-20-0001</t>
  </si>
  <si>
    <t>8522-2349A,NSA938151PA2000</t>
  </si>
  <si>
    <t>EV6016-0-00</t>
  </si>
  <si>
    <t>F1000550-00</t>
  </si>
  <si>
    <t>301-807-203-0</t>
  </si>
  <si>
    <t>FE240-006</t>
  </si>
  <si>
    <t>FE277-000</t>
  </si>
  <si>
    <t>DG2F212-51</t>
  </si>
  <si>
    <t>DG2N212-51</t>
  </si>
  <si>
    <t>G6990-32</t>
  </si>
  <si>
    <t>243548-17</t>
  </si>
  <si>
    <t>10-AB2140-201,HA70-0214001TX</t>
  </si>
  <si>
    <t>HG2030BE03</t>
  </si>
  <si>
    <t>J172ABM</t>
  </si>
  <si>
    <t>LA2T0G20503B040</t>
  </si>
  <si>
    <t>M83/P1801A</t>
  </si>
  <si>
    <t>MR6P2RU/A</t>
  </si>
  <si>
    <t>MR-10042N</t>
  </si>
  <si>
    <t>N40-1C10100-101</t>
  </si>
  <si>
    <t>N40-1C20215-102</t>
  </si>
  <si>
    <t>N40-1C20223-102</t>
  </si>
  <si>
    <t>06282,25022,NP165311-7</t>
  </si>
  <si>
    <t>NP165311-6,NP165311-8</t>
  </si>
  <si>
    <t>NP165312-11,NP165312-13</t>
  </si>
  <si>
    <t>NH25216-141,NH25216-349,NP165313-3,NP165333A1</t>
  </si>
  <si>
    <t>NP165313-4,SPSA320-10-2-2</t>
  </si>
  <si>
    <t>MZ112-00-000</t>
  </si>
  <si>
    <t>P3APP003010D</t>
  </si>
  <si>
    <t>PG1152AC03</t>
  </si>
  <si>
    <t>PL88-900LH00TL,PL88-900LH00TX</t>
  </si>
  <si>
    <t>PAI2800-01,PPA1104-01</t>
  </si>
  <si>
    <t>PPA1202-00,PPA1203-00</t>
  </si>
  <si>
    <t>P-RB14-14J04S,PRB14-14J04S</t>
  </si>
  <si>
    <t>P-RB14-14J06S,PRB14-14J06S</t>
  </si>
  <si>
    <t>RCF6705</t>
  </si>
  <si>
    <t>RP159-00,RP183-00</t>
  </si>
  <si>
    <t>301-794-602-0,301-794-603-0,RP198-02</t>
  </si>
  <si>
    <t>RP152-01</t>
  </si>
  <si>
    <t>S005-3</t>
  </si>
  <si>
    <t>7101-05,7101-05-1050-575-9</t>
  </si>
  <si>
    <t>128D0171-33,8862-101,8862-101-1150-707-9,8862-101-1150/707-9</t>
  </si>
  <si>
    <t>SIC5059-13-20,SIC5059-13-31,SIC5059-14-31</t>
  </si>
  <si>
    <t>TAAI1-03CE00-01,TAAI1-03CE00-02,TAAI1-03CE01-01,TAAI1-03CE02-01,TAAI1-03CE02-02,TAAI1-03CE03-01,TAAI1-03CE07-02,TAAI1-03CE10-01,TAAI1-03CE10-02,TAAI1-03CE11-01,TAAI1-03CE11-02,TAAI1-03CE12-02,TAAI1-03CE13-01,TAAI1-03CE13-02,TAAI1-03CM00-01,TAAI1-03CM10-01,TAAI2-33CE00-01,TAAI2-33CE01-01,TAAI2-33CE10-01,TAAI2-33CE11-01,TAAI2-33CE20-01,TAAI2-33CE21-01,TAAI2-33CE30-01,TAAI2-33CE31-01,TAAI3-03CE00-01,TAAI3-03CE01-01,TAAI3-03CE10-01,TAAI3-03CE11-01,TAAI3-03CE20-01,TAAI3-03CE30-01,TAAI3-03CE31-01</t>
  </si>
  <si>
    <t>TAAI2-33CE00-01,TAAI2-33CE20-01,TAAI3-03CE00-01,TAAI3-03CE20-01</t>
  </si>
  <si>
    <t>TAAI1-03PE11-02,TAAI2-33PE00-01,TAAI2-33PE01-01,TAAI2-33PE20-01,TAAI3-03PE20-01,TAAI3-03PE30-01</t>
  </si>
  <si>
    <t>TAAI1-03PE01-02,TAAI2-33PE00-01,TAAI2-33PE20-01,TAAI3-03PE00-01,TAAI3-03PE20-01</t>
  </si>
  <si>
    <t>TAAI1-404000-03</t>
  </si>
  <si>
    <t>301-785-401-0,301-785-402-0,TC201-00</t>
  </si>
  <si>
    <t>301-795-803-0,301-795-804-0,301-795-805-0,TC194-00,TC194-01,TC194-02,TC315-00,TC315-01</t>
  </si>
  <si>
    <t>TC316-00,TC316-01</t>
  </si>
  <si>
    <t>TLS755-01-0102A</t>
  </si>
  <si>
    <t>C24742000-3</t>
  </si>
  <si>
    <t>TY2092-23</t>
  </si>
  <si>
    <t>VG11-03R,VG17-00</t>
  </si>
  <si>
    <t>301-808-002-0</t>
  </si>
  <si>
    <t>Y005-3</t>
  </si>
  <si>
    <t>YT000035431A</t>
  </si>
  <si>
    <t>Z014H010035C</t>
  </si>
  <si>
    <t>Z030H0003110,Z030H0004110</t>
  </si>
  <si>
    <t>Z133H052151D</t>
  </si>
  <si>
    <t>Z145H0053120</t>
  </si>
  <si>
    <t>8ES005238-03,8ES005238-13</t>
  </si>
  <si>
    <t>CZ9DM6A</t>
  </si>
  <si>
    <t>Комментарии</t>
  </si>
  <si>
    <t>Резерв под проекты</t>
  </si>
  <si>
    <t>Расчетный столюец</t>
  </si>
  <si>
    <t>В обороте (SERV+QUARANTINE+Unservice+repair)</t>
  </si>
  <si>
    <t>Ивент</t>
  </si>
  <si>
    <t>HBS (если HBS или НЗ если VPZ)_тип ревизии (кроме ВПЗ)_применимость на типе ВС (если тип ревизии - INT)_покупка _PN_"причина"</t>
  </si>
  <si>
    <t>Формула расчетная</t>
  </si>
  <si>
    <t>Соотношение сервисного к идеальному</t>
  </si>
  <si>
    <t>Критика закупка</t>
  </si>
  <si>
    <t>Ср время доставки</t>
  </si>
  <si>
    <t>Выдача среднемесячная</t>
  </si>
  <si>
    <t>Приоритеты (АОГ и Критика)</t>
  </si>
  <si>
    <t>Критика</t>
  </si>
  <si>
    <t>AOG (no go)</t>
  </si>
  <si>
    <t>Идельное кол-во - сервисные + резерв</t>
  </si>
  <si>
    <t>1 кейс (сервисных меньше идеал кол-во)</t>
  </si>
  <si>
    <t>2 кейс (резкая выдача коэфициент выдача за месяц к среднемесячной выдче болшье 1)</t>
  </si>
  <si>
    <t>Среднемесячная выдача - выдача за месяц + резерв (но не меньше идеального кол-ва)</t>
  </si>
  <si>
    <t>АОГ и Критика</t>
  </si>
  <si>
    <t>Аог</t>
  </si>
  <si>
    <t>Все остальное (при флаге критика)</t>
  </si>
  <si>
    <t>Соотношение 0% и MEL AOG/NO go (при флаге критика)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</si>
</sst>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000000"/>
      <name val="SansSerif"/>
      <family val="2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A8A8A8"/>
      </patternFill>
    </fill>
    <fill>
      <patternFill patternType="solid">
        <fgColor rgb="FF9DED9F"/>
      </patternFill>
    </fill>
    <fill>
      <patternFill patternType="solid">
        <fgColor rgb="FFE7ED3B"/>
      </patternFill>
    </fill>
    <fill>
      <patternFill patternType="solid">
        <fgColor rgb="FFA2BBF5"/>
      </patternFill>
    </fill>
    <fill>
      <patternFill patternType="solid">
        <fgColor rgb="FFFFD79C"/>
      </patternFill>
    </fill>
    <fill>
      <patternFill patternType="solid">
        <fgColor rgb="FFFFADCD"/>
      </patternFill>
    </fill>
    <fill>
      <patternFill patternType="solid">
        <fgColor rgb="FF95DCE6"/>
      </patternFill>
    </fill>
    <fill>
      <patternFill patternType="solid">
        <fgColor rgb="FFF5F37F"/>
      </patternFill>
    </fill>
    <fill>
      <patternFill patternType="solid">
        <fgColor rgb="FF7FF58D"/>
      </patternFill>
    </fill>
    <fill>
      <patternFill patternType="solid">
        <fgColor rgb="FFFFFFFF"/>
      </patternFill>
    </fill>
    <fill>
      <patternFill patternType="solid">
        <fgColor rgb="FFFFADB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4" fillId="7" borderId="2" xfId="0" applyNumberFormat="1" applyFont="1" applyFill="1" applyBorder="1" applyAlignment="1" applyProtection="1">
      <alignment horizontal="center" vertical="center" wrapText="1"/>
    </xf>
    <xf numFmtId="0" fontId="4" fillId="8" borderId="2" xfId="0" applyNumberFormat="1" applyFont="1" applyFill="1" applyBorder="1" applyAlignment="1" applyProtection="1">
      <alignment horizontal="center" vertical="center" wrapText="1"/>
    </xf>
    <xf numFmtId="0" fontId="4" fillId="9" borderId="2" xfId="0" applyNumberFormat="1" applyFont="1" applyFill="1" applyBorder="1" applyAlignment="1" applyProtection="1">
      <alignment horizontal="center" vertical="center" wrapText="1"/>
    </xf>
    <xf numFmtId="0" fontId="4" fillId="10" borderId="2" xfId="0" applyNumberFormat="1" applyFont="1" applyFill="1" applyBorder="1" applyAlignment="1" applyProtection="1">
      <alignment horizontal="center" vertical="center" wrapText="1"/>
    </xf>
    <xf numFmtId="0" fontId="4" fillId="11" borderId="2" xfId="0" applyNumberFormat="1" applyFont="1" applyFill="1" applyBorder="1" applyAlignment="1" applyProtection="1">
      <alignment horizontal="center" vertical="center" wrapText="1"/>
    </xf>
    <xf numFmtId="0" fontId="4" fillId="12" borderId="2" xfId="0" applyNumberFormat="1" applyFont="1" applyFill="1" applyBorder="1" applyAlignment="1" applyProtection="1">
      <alignment horizontal="center" vertical="center" wrapText="1"/>
    </xf>
    <xf numFmtId="0" fontId="4" fillId="13" borderId="2" xfId="0" applyNumberFormat="1" applyFont="1" applyFill="1" applyBorder="1" applyAlignment="1" applyProtection="1">
      <alignment horizontal="center" vertical="center" wrapText="1"/>
    </xf>
    <xf numFmtId="0" fontId="4" fillId="14" borderId="2" xfId="0" applyNumberFormat="1" applyFont="1" applyFill="1" applyBorder="1" applyAlignment="1" applyProtection="1">
      <alignment horizontal="center" vertical="center" wrapText="1"/>
    </xf>
    <xf numFmtId="0" fontId="4" fillId="15" borderId="2" xfId="0" applyNumberFormat="1" applyFont="1" applyFill="1" applyBorder="1" applyAlignment="1" applyProtection="1">
      <alignment horizontal="center" vertical="center" wrapText="1"/>
    </xf>
    <xf numFmtId="0" fontId="3" fillId="16" borderId="2" xfId="0" applyNumberFormat="1" applyFont="1" applyFill="1" applyBorder="1" applyAlignment="1" applyProtection="1">
      <alignment horizontal="left" vertical="top" wrapText="1"/>
    </xf>
    <xf numFmtId="0" fontId="3" fillId="17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center" wrapText="1"/>
    </xf>
    <xf numFmtId="0" fontId="2" fillId="18" borderId="2" xfId="0" applyNumberFormat="1" applyFont="1" applyFill="1" applyBorder="1" applyAlignment="1" applyProtection="1">
      <alignment horizontal="center" vertical="center" wrapText="1"/>
    </xf>
    <xf numFmtId="0" fontId="3" fillId="18" borderId="2" xfId="0" applyNumberFormat="1" applyFont="1" applyFill="1" applyBorder="1" applyAlignment="1" applyProtection="1">
      <alignment horizontal="left" vertical="top" wrapText="1"/>
    </xf>
    <xf numFmtId="0" fontId="0" fillId="18" borderId="0" xfId="0" applyFill="1"/>
    <xf numFmtId="0" fontId="1" fillId="18" borderId="1" xfId="0" applyNumberFormat="1" applyFont="1" applyFill="1" applyBorder="1" applyAlignment="1" applyProtection="1">
      <alignment horizontal="left" vertical="top" wrapText="1"/>
    </xf>
    <xf numFmtId="0" fontId="2" fillId="18" borderId="3" xfId="0" applyNumberFormat="1" applyFont="1" applyFill="1" applyBorder="1" applyAlignment="1" applyProtection="1">
      <alignment horizontal="center" vertical="center" wrapText="1"/>
    </xf>
    <xf numFmtId="0" fontId="3" fillId="18" borderId="1" xfId="0" applyNumberFormat="1" applyFont="1" applyFill="1" applyBorder="1" applyAlignment="1" applyProtection="1">
      <alignment horizontal="left" vertical="top" wrapText="1"/>
    </xf>
    <xf numFmtId="0" fontId="0" fillId="19" borderId="0" xfId="0" applyFill="1"/>
    <xf numFmtId="0" fontId="2" fillId="19" borderId="2" xfId="0" applyNumberFormat="1" applyFont="1" applyFill="1" applyBorder="1" applyAlignment="1" applyProtection="1">
      <alignment horizontal="center" vertical="center" wrapText="1"/>
    </xf>
    <xf numFmtId="0" fontId="3" fillId="19" borderId="2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9" fontId="0" fillId="18" borderId="0" xfId="1" applyFont="1" applyFill="1"/>
    <xf numFmtId="0" fontId="0" fillId="18" borderId="1" xfId="0" applyFill="1" applyBorder="1"/>
    <xf numFmtId="0" fontId="0" fillId="20" borderId="0" xfId="0" applyFill="1"/>
    <xf numFmtId="0" fontId="2" fillId="20" borderId="3" xfId="0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914"/>
  <sheetViews>
    <sheetView tabSelected="1" topLeftCell="E1" workbookViewId="0">
      <selection activeCell="L15" sqref="L15"/>
    </sheetView>
  </sheetViews>
  <sheetFormatPr defaultRowHeight="14.5"/>
  <cols>
    <col min="1" max="1" width="6.6328125" customWidth="1"/>
    <col min="2" max="2" width="16.6328125" customWidth="1"/>
    <col min="3" max="3" width="18.36328125" customWidth="1"/>
    <col min="4" max="4" width="7.81640625" customWidth="1"/>
    <col min="5" max="5" width="10.453125" customWidth="1"/>
    <col min="6" max="6" width="10" style="23" customWidth="1"/>
    <col min="7" max="9" width="10" customWidth="1"/>
    <col min="10" max="15" width="8.36328125" customWidth="1"/>
    <col min="16" max="18" width="8.36328125" style="19" customWidth="1"/>
    <col min="19" max="21" width="8.36328125" customWidth="1"/>
    <col min="22" max="22" width="11.6328125" customWidth="1"/>
    <col min="23" max="23" width="11.6328125" style="19" customWidth="1"/>
    <col min="24" max="24" width="23.26953125" style="29" customWidth="1"/>
    <col min="25" max="25" width="8.7265625" style="19"/>
    <col min="26" max="26" width="37.08984375" style="19" customWidth="1"/>
    <col min="27" max="27" width="15" style="19" bestFit="1" customWidth="1"/>
    <col min="32" max="32" width="18.36328125" bestFit="1" customWidth="1"/>
  </cols>
  <sheetData>
    <row r="1" spans="1:34" ht="3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0"/>
    </row>
    <row r="2" spans="1:34" ht="4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4" t="s">
        <v>6</v>
      </c>
      <c r="G2" s="1" t="s">
        <v>7</v>
      </c>
      <c r="H2" s="1" t="s">
        <v>2346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7" t="s">
        <v>2344</v>
      </c>
      <c r="Q2" s="17" t="s">
        <v>2353</v>
      </c>
      <c r="R2" s="17" t="s">
        <v>2352</v>
      </c>
      <c r="S2" s="1" t="s">
        <v>15</v>
      </c>
      <c r="T2" s="2" t="s">
        <v>16</v>
      </c>
      <c r="U2" s="2" t="s">
        <v>17</v>
      </c>
      <c r="V2" s="1" t="s">
        <v>18</v>
      </c>
      <c r="W2" s="21" t="s">
        <v>2345</v>
      </c>
      <c r="X2" s="30" t="s">
        <v>2343</v>
      </c>
      <c r="Y2" s="19" t="s">
        <v>2347</v>
      </c>
      <c r="Z2" s="19" t="s">
        <v>2350</v>
      </c>
      <c r="AA2" s="19" t="s">
        <v>2351</v>
      </c>
      <c r="AB2" s="28" t="s">
        <v>2354</v>
      </c>
      <c r="AF2" s="26" t="s">
        <v>2349</v>
      </c>
      <c r="AG2" t="s">
        <v>2358</v>
      </c>
      <c r="AH2" t="s">
        <v>2357</v>
      </c>
    </row>
    <row r="3" spans="1:34" ht="23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25"/>
      <c r="G3" s="3">
        <v>2</v>
      </c>
      <c r="H3" s="3">
        <v>12</v>
      </c>
      <c r="I3" s="3">
        <v>0</v>
      </c>
      <c r="J3" s="3">
        <v>7</v>
      </c>
      <c r="K3" s="3">
        <v>0</v>
      </c>
      <c r="L3" s="3">
        <v>0</v>
      </c>
      <c r="M3" s="3">
        <v>0</v>
      </c>
      <c r="N3" s="3">
        <v>4</v>
      </c>
      <c r="O3" s="3">
        <v>1</v>
      </c>
      <c r="P3" s="18"/>
      <c r="Q3" s="18"/>
      <c r="R3" s="18"/>
      <c r="S3" s="3">
        <v>10</v>
      </c>
      <c r="T3" s="3">
        <v>-1</v>
      </c>
      <c r="U3" s="3">
        <v>-9</v>
      </c>
      <c r="V3" s="3">
        <v>1390971.1558134577</v>
      </c>
      <c r="W3" s="22"/>
      <c r="Z3" s="27">
        <f>J3/G3</f>
        <v>3.5</v>
      </c>
      <c r="AG3" t="s">
        <v>2359</v>
      </c>
      <c r="AH3" t="s">
        <v>2360</v>
      </c>
    </row>
    <row r="4" spans="1:34" ht="34" customHeight="1">
      <c r="A4" s="3" t="s">
        <v>24</v>
      </c>
      <c r="B4" s="3" t="s">
        <v>25</v>
      </c>
      <c r="C4" s="3" t="s">
        <v>26</v>
      </c>
      <c r="D4" s="3" t="s">
        <v>22</v>
      </c>
      <c r="E4" s="3" t="s">
        <v>23</v>
      </c>
      <c r="F4" s="25"/>
      <c r="G4" s="3">
        <v>2</v>
      </c>
      <c r="H4" s="3">
        <v>17</v>
      </c>
      <c r="I4" s="3">
        <v>0</v>
      </c>
      <c r="J4" s="3">
        <v>0</v>
      </c>
      <c r="K4" s="3">
        <v>10</v>
      </c>
      <c r="L4" s="3">
        <v>0</v>
      </c>
      <c r="M4" s="3">
        <v>19</v>
      </c>
      <c r="N4" s="3">
        <v>4</v>
      </c>
      <c r="O4" s="3">
        <v>3</v>
      </c>
      <c r="P4" s="18"/>
      <c r="Q4" s="18"/>
      <c r="R4" s="18"/>
      <c r="S4" s="3"/>
      <c r="T4" s="3">
        <v>0</v>
      </c>
      <c r="U4" s="3">
        <v>-8</v>
      </c>
      <c r="V4" s="3">
        <v>79753.37</v>
      </c>
      <c r="W4" s="22"/>
      <c r="Z4" s="27">
        <f t="shared" ref="Z4:Z67" si="0">J4/G4</f>
        <v>0</v>
      </c>
    </row>
    <row r="5" spans="1:34" ht="20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23</v>
      </c>
      <c r="F5" s="25"/>
      <c r="G5" s="3">
        <v>2</v>
      </c>
      <c r="H5" s="3">
        <v>2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18"/>
      <c r="Q5" s="18"/>
      <c r="R5" s="18"/>
      <c r="S5" s="3">
        <v>1</v>
      </c>
      <c r="T5" s="3">
        <v>0</v>
      </c>
      <c r="U5" s="3">
        <v>0</v>
      </c>
      <c r="V5" s="3"/>
      <c r="W5" s="22"/>
      <c r="Z5" s="27">
        <f t="shared" si="0"/>
        <v>0.5</v>
      </c>
      <c r="AF5" s="26" t="s">
        <v>2361</v>
      </c>
      <c r="AG5" t="s">
        <v>2362</v>
      </c>
      <c r="AH5" t="s">
        <v>2364</v>
      </c>
    </row>
    <row r="6" spans="1:34" ht="23" customHeight="1">
      <c r="A6" s="3" t="s">
        <v>31</v>
      </c>
      <c r="B6" s="3" t="s">
        <v>32</v>
      </c>
      <c r="C6" s="3" t="s">
        <v>33</v>
      </c>
      <c r="D6" s="3" t="s">
        <v>30</v>
      </c>
      <c r="E6" s="3" t="s">
        <v>23</v>
      </c>
      <c r="F6" s="25"/>
      <c r="G6" s="3">
        <v>1</v>
      </c>
      <c r="H6" s="3">
        <v>3</v>
      </c>
      <c r="I6" s="3">
        <v>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18"/>
      <c r="Q6" s="18"/>
      <c r="R6" s="18"/>
      <c r="S6" s="3"/>
      <c r="T6" s="3"/>
      <c r="U6" s="3"/>
      <c r="V6" s="3">
        <v>22025.874749999999</v>
      </c>
      <c r="W6" s="22"/>
      <c r="Z6" s="27">
        <f t="shared" si="0"/>
        <v>3</v>
      </c>
      <c r="AG6" t="s">
        <v>2355</v>
      </c>
      <c r="AH6" t="s">
        <v>2363</v>
      </c>
    </row>
    <row r="7" spans="1:34" ht="23" customHeight="1">
      <c r="A7" s="3" t="s">
        <v>31</v>
      </c>
      <c r="B7" s="3" t="s">
        <v>34</v>
      </c>
      <c r="C7" s="3" t="s">
        <v>35</v>
      </c>
      <c r="D7" s="3" t="s">
        <v>30</v>
      </c>
      <c r="E7" s="3" t="s">
        <v>23</v>
      </c>
      <c r="F7" s="25"/>
      <c r="G7" s="3">
        <v>1</v>
      </c>
      <c r="H7" s="3">
        <v>1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18"/>
      <c r="Q7" s="18"/>
      <c r="R7" s="18"/>
      <c r="S7" s="3"/>
      <c r="T7" s="3"/>
      <c r="U7" s="3"/>
      <c r="V7" s="3">
        <v>0</v>
      </c>
      <c r="W7" s="22"/>
      <c r="Z7" s="27">
        <f t="shared" si="0"/>
        <v>1</v>
      </c>
    </row>
    <row r="8" spans="1:34" ht="20" customHeight="1">
      <c r="A8" s="3" t="s">
        <v>36</v>
      </c>
      <c r="B8" s="3" t="s">
        <v>37</v>
      </c>
      <c r="C8" s="3" t="s">
        <v>38</v>
      </c>
      <c r="D8" s="3" t="s">
        <v>22</v>
      </c>
      <c r="E8" s="3" t="s">
        <v>23</v>
      </c>
      <c r="F8" s="25"/>
      <c r="G8" s="3">
        <v>1</v>
      </c>
      <c r="H8" s="3">
        <v>5</v>
      </c>
      <c r="I8" s="3">
        <v>0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18"/>
      <c r="Q8" s="18"/>
      <c r="R8" s="18"/>
      <c r="S8" s="3"/>
      <c r="T8" s="3"/>
      <c r="U8" s="3"/>
      <c r="V8" s="3">
        <v>0</v>
      </c>
      <c r="W8" s="22">
        <v>10</v>
      </c>
      <c r="Y8" s="19" t="s">
        <v>2348</v>
      </c>
      <c r="Z8" s="27">
        <f t="shared" si="0"/>
        <v>5</v>
      </c>
    </row>
    <row r="9" spans="1:34" ht="23" customHeight="1">
      <c r="A9" s="3" t="s">
        <v>39</v>
      </c>
      <c r="B9" s="3" t="s">
        <v>40</v>
      </c>
      <c r="C9" s="3" t="s">
        <v>41</v>
      </c>
      <c r="D9" s="3" t="s">
        <v>22</v>
      </c>
      <c r="E9" s="3" t="s">
        <v>23</v>
      </c>
      <c r="F9" s="25"/>
      <c r="G9" s="3">
        <v>1</v>
      </c>
      <c r="H9" s="3">
        <v>6</v>
      </c>
      <c r="I9" s="3">
        <v>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18"/>
      <c r="Q9" s="18"/>
      <c r="R9" s="18"/>
      <c r="S9" s="3"/>
      <c r="T9" s="3">
        <v>0</v>
      </c>
      <c r="U9" s="3">
        <v>-5</v>
      </c>
      <c r="V9" s="3"/>
      <c r="W9" s="22"/>
      <c r="Z9" s="27">
        <f t="shared" si="0"/>
        <v>5</v>
      </c>
    </row>
    <row r="10" spans="1:34" ht="20" customHeight="1">
      <c r="A10" s="3" t="s">
        <v>42</v>
      </c>
      <c r="B10" s="3" t="s">
        <v>43</v>
      </c>
      <c r="C10" s="3" t="s">
        <v>44</v>
      </c>
      <c r="D10" s="3" t="s">
        <v>22</v>
      </c>
      <c r="E10" s="3" t="s">
        <v>23</v>
      </c>
      <c r="F10" s="25"/>
      <c r="G10" s="3">
        <v>1</v>
      </c>
      <c r="H10" s="3">
        <v>4</v>
      </c>
      <c r="I10" s="3">
        <v>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18"/>
      <c r="Q10" s="18"/>
      <c r="R10" s="18"/>
      <c r="S10" s="3"/>
      <c r="T10" s="3">
        <v>0</v>
      </c>
      <c r="U10" s="3">
        <v>-3</v>
      </c>
      <c r="V10" s="3"/>
      <c r="W10" s="22"/>
      <c r="Z10" s="27">
        <f t="shared" si="0"/>
        <v>4</v>
      </c>
    </row>
    <row r="11" spans="1:34" ht="20" customHeight="1">
      <c r="A11" s="3" t="s">
        <v>45</v>
      </c>
      <c r="B11" s="3" t="s">
        <v>46</v>
      </c>
      <c r="C11" s="3" t="s">
        <v>47</v>
      </c>
      <c r="D11" s="3" t="s">
        <v>22</v>
      </c>
      <c r="E11" s="3" t="s">
        <v>23</v>
      </c>
      <c r="F11" s="25"/>
      <c r="G11" s="3">
        <v>1</v>
      </c>
      <c r="H11" s="3">
        <v>3</v>
      </c>
      <c r="I11" s="3">
        <v>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18"/>
      <c r="Q11" s="18"/>
      <c r="R11" s="18"/>
      <c r="S11" s="3"/>
      <c r="T11" s="3">
        <v>0</v>
      </c>
      <c r="U11" s="3">
        <v>-2</v>
      </c>
      <c r="V11" s="3">
        <v>3686742.25</v>
      </c>
      <c r="W11" s="22"/>
      <c r="Z11" s="27">
        <f t="shared" si="0"/>
        <v>3</v>
      </c>
    </row>
    <row r="12" spans="1:34" ht="23" customHeight="1">
      <c r="A12" s="3" t="s">
        <v>48</v>
      </c>
      <c r="B12" s="3" t="s">
        <v>49</v>
      </c>
      <c r="C12" s="3" t="s">
        <v>50</v>
      </c>
      <c r="D12" s="3" t="s">
        <v>22</v>
      </c>
      <c r="E12" s="3" t="s">
        <v>23</v>
      </c>
      <c r="F12" s="25"/>
      <c r="G12" s="3">
        <v>1</v>
      </c>
      <c r="H12" s="3">
        <v>7</v>
      </c>
      <c r="I12" s="3">
        <v>0</v>
      </c>
      <c r="J12" s="3">
        <v>6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18"/>
      <c r="Q12" s="18"/>
      <c r="R12" s="18"/>
      <c r="S12" s="3"/>
      <c r="T12" s="3">
        <v>0</v>
      </c>
      <c r="U12" s="3">
        <v>-2</v>
      </c>
      <c r="V12" s="3">
        <v>3214980.7448</v>
      </c>
      <c r="W12" s="22"/>
      <c r="Z12" s="27">
        <f t="shared" si="0"/>
        <v>6</v>
      </c>
    </row>
    <row r="13" spans="1:34" ht="20" customHeight="1">
      <c r="A13" s="3" t="s">
        <v>51</v>
      </c>
      <c r="B13" s="3" t="s">
        <v>52</v>
      </c>
      <c r="C13" s="3" t="s">
        <v>53</v>
      </c>
      <c r="D13" s="3" t="s">
        <v>22</v>
      </c>
      <c r="E13" s="3" t="s">
        <v>23</v>
      </c>
      <c r="F13" s="25"/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18"/>
      <c r="Q13" s="18"/>
      <c r="R13" s="18"/>
      <c r="S13" s="3"/>
      <c r="T13" s="3"/>
      <c r="U13" s="3"/>
      <c r="V13" s="3">
        <v>0</v>
      </c>
      <c r="W13" s="22"/>
      <c r="Z13" s="27">
        <f t="shared" si="0"/>
        <v>1</v>
      </c>
    </row>
    <row r="14" spans="1:34" ht="20" customHeight="1">
      <c r="A14" s="3" t="s">
        <v>45</v>
      </c>
      <c r="B14" s="3" t="s">
        <v>54</v>
      </c>
      <c r="C14" s="3" t="s">
        <v>55</v>
      </c>
      <c r="D14" s="3" t="s">
        <v>22</v>
      </c>
      <c r="E14" s="3" t="s">
        <v>23</v>
      </c>
      <c r="F14" s="25"/>
      <c r="G14" s="3">
        <v>1</v>
      </c>
      <c r="H14" s="3">
        <v>2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18"/>
      <c r="Q14" s="18"/>
      <c r="R14" s="18"/>
      <c r="S14" s="3"/>
      <c r="T14" s="3"/>
      <c r="U14" s="3"/>
      <c r="V14" s="3">
        <v>257571.315</v>
      </c>
      <c r="W14" s="22"/>
      <c r="Z14" s="27">
        <f t="shared" si="0"/>
        <v>2</v>
      </c>
    </row>
    <row r="15" spans="1:34" ht="20" customHeight="1">
      <c r="A15" s="3" t="s">
        <v>56</v>
      </c>
      <c r="B15" s="3" t="s">
        <v>57</v>
      </c>
      <c r="C15" s="3" t="s">
        <v>58</v>
      </c>
      <c r="D15" s="3" t="s">
        <v>22</v>
      </c>
      <c r="E15" s="3" t="s">
        <v>23</v>
      </c>
      <c r="F15" s="25"/>
      <c r="G15" s="3">
        <v>1</v>
      </c>
      <c r="H15" s="3">
        <v>3</v>
      </c>
      <c r="I15" s="3">
        <v>0</v>
      </c>
      <c r="J15" s="3">
        <v>3</v>
      </c>
      <c r="K15" s="3">
        <v>0</v>
      </c>
      <c r="L15" s="3">
        <v>0</v>
      </c>
      <c r="M15" s="3">
        <v>1</v>
      </c>
      <c r="N15" s="3">
        <v>0</v>
      </c>
      <c r="O15" s="3">
        <v>0</v>
      </c>
      <c r="P15" s="18"/>
      <c r="Q15" s="18"/>
      <c r="R15" s="18"/>
      <c r="S15" s="3"/>
      <c r="T15" s="3">
        <v>0</v>
      </c>
      <c r="U15" s="3">
        <v>-2</v>
      </c>
      <c r="V15" s="3">
        <v>181990.15</v>
      </c>
      <c r="W15" s="22"/>
      <c r="Z15" s="27">
        <f t="shared" si="0"/>
        <v>3</v>
      </c>
    </row>
    <row r="16" spans="1:34" ht="20" customHeight="1">
      <c r="A16" s="3" t="s">
        <v>59</v>
      </c>
      <c r="B16" s="3" t="s">
        <v>60</v>
      </c>
      <c r="C16" s="3" t="s">
        <v>61</v>
      </c>
      <c r="D16" s="3" t="s">
        <v>22</v>
      </c>
      <c r="E16" s="3" t="s">
        <v>23</v>
      </c>
      <c r="F16" s="25" t="s">
        <v>2356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18"/>
      <c r="Q16" s="18"/>
      <c r="R16" s="18"/>
      <c r="S16" s="3">
        <v>1</v>
      </c>
      <c r="T16" s="3">
        <v>0</v>
      </c>
      <c r="U16" s="3">
        <v>-1</v>
      </c>
      <c r="V16" s="3">
        <v>0</v>
      </c>
      <c r="W16" s="22"/>
      <c r="Z16" s="27">
        <f t="shared" si="0"/>
        <v>0</v>
      </c>
      <c r="AA16" s="19">
        <v>1</v>
      </c>
    </row>
    <row r="17" spans="1:26" ht="23" customHeight="1">
      <c r="A17" s="3" t="s">
        <v>45</v>
      </c>
      <c r="B17" s="3" t="s">
        <v>62</v>
      </c>
      <c r="C17" s="3" t="s">
        <v>63</v>
      </c>
      <c r="D17" s="3" t="s">
        <v>22</v>
      </c>
      <c r="E17" s="3" t="s">
        <v>23</v>
      </c>
      <c r="F17" s="25"/>
      <c r="G17" s="3">
        <v>2</v>
      </c>
      <c r="H17" s="3">
        <v>20</v>
      </c>
      <c r="I17" s="3">
        <v>0</v>
      </c>
      <c r="J17" s="3">
        <v>18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18"/>
      <c r="Q17" s="18"/>
      <c r="R17" s="18"/>
      <c r="S17" s="3"/>
      <c r="T17" s="3">
        <v>-2</v>
      </c>
      <c r="U17" s="3">
        <v>-13</v>
      </c>
      <c r="V17" s="3">
        <v>415305.30572984129</v>
      </c>
      <c r="W17" s="22"/>
      <c r="Z17" s="27">
        <f t="shared" si="0"/>
        <v>9</v>
      </c>
    </row>
    <row r="18" spans="1:26" ht="20" customHeight="1">
      <c r="A18" s="3" t="s">
        <v>64</v>
      </c>
      <c r="B18" s="3" t="s">
        <v>65</v>
      </c>
      <c r="C18" s="3" t="s">
        <v>66</v>
      </c>
      <c r="D18" s="3" t="s">
        <v>30</v>
      </c>
      <c r="E18" s="3" t="s">
        <v>23</v>
      </c>
      <c r="F18" s="25"/>
      <c r="G18" s="3">
        <v>1</v>
      </c>
      <c r="H18" s="3">
        <v>5</v>
      </c>
      <c r="I18" s="3">
        <v>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18"/>
      <c r="Q18" s="18"/>
      <c r="R18" s="18"/>
      <c r="S18" s="3"/>
      <c r="T18" s="3">
        <v>0</v>
      </c>
      <c r="U18" s="3">
        <v>-1</v>
      </c>
      <c r="V18" s="3"/>
      <c r="W18" s="22"/>
      <c r="Z18" s="27">
        <f t="shared" si="0"/>
        <v>5</v>
      </c>
    </row>
    <row r="19" spans="1:26" ht="20" customHeight="1">
      <c r="A19" s="3" t="s">
        <v>19</v>
      </c>
      <c r="B19" s="3" t="s">
        <v>67</v>
      </c>
      <c r="C19" s="3" t="s">
        <v>68</v>
      </c>
      <c r="D19" s="3" t="s">
        <v>22</v>
      </c>
      <c r="E19" s="3" t="s">
        <v>23</v>
      </c>
      <c r="F19" s="25"/>
      <c r="G19" s="3">
        <v>4</v>
      </c>
      <c r="H19" s="3">
        <v>4</v>
      </c>
      <c r="I19" s="3">
        <v>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18"/>
      <c r="Q19" s="18"/>
      <c r="R19" s="18"/>
      <c r="S19" s="3"/>
      <c r="T19" s="3">
        <v>0</v>
      </c>
      <c r="U19" s="3">
        <v>-3</v>
      </c>
      <c r="V19" s="3">
        <v>557698.9</v>
      </c>
      <c r="W19" s="22"/>
      <c r="Z19" s="27">
        <f t="shared" si="0"/>
        <v>1</v>
      </c>
    </row>
    <row r="20" spans="1:26" ht="23" customHeight="1">
      <c r="A20" s="3" t="s">
        <v>69</v>
      </c>
      <c r="B20" s="3" t="s">
        <v>70</v>
      </c>
      <c r="C20" s="3" t="s">
        <v>71</v>
      </c>
      <c r="D20" s="3" t="s">
        <v>22</v>
      </c>
      <c r="E20" s="3" t="s">
        <v>23</v>
      </c>
      <c r="F20" s="25"/>
      <c r="G20" s="3">
        <v>2</v>
      </c>
      <c r="H20" s="3">
        <v>8</v>
      </c>
      <c r="I20" s="3">
        <v>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3</v>
      </c>
      <c r="P20" s="18"/>
      <c r="Q20" s="18"/>
      <c r="R20" s="18"/>
      <c r="S20" s="3"/>
      <c r="T20" s="3">
        <v>-1</v>
      </c>
      <c r="U20" s="3">
        <v>-4</v>
      </c>
      <c r="V20" s="3">
        <v>779018.01799999992</v>
      </c>
      <c r="W20" s="22"/>
      <c r="Z20" s="27">
        <f t="shared" si="0"/>
        <v>2.5</v>
      </c>
    </row>
    <row r="21" spans="1:26" ht="23" customHeight="1">
      <c r="A21" s="3" t="s">
        <v>72</v>
      </c>
      <c r="B21" s="3" t="s">
        <v>73</v>
      </c>
      <c r="C21" s="3" t="s">
        <v>74</v>
      </c>
      <c r="D21" s="3" t="s">
        <v>22</v>
      </c>
      <c r="E21" s="3" t="s">
        <v>23</v>
      </c>
      <c r="F21" s="25"/>
      <c r="G21" s="3">
        <v>2</v>
      </c>
      <c r="H21" s="3">
        <v>6</v>
      </c>
      <c r="I21" s="3">
        <v>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18"/>
      <c r="Q21" s="18"/>
      <c r="R21" s="18"/>
      <c r="S21" s="3"/>
      <c r="T21" s="3">
        <v>0</v>
      </c>
      <c r="U21" s="3">
        <v>-2</v>
      </c>
      <c r="V21" s="3">
        <v>1219187.6599999999</v>
      </c>
      <c r="W21" s="22"/>
      <c r="Z21" s="27">
        <f t="shared" si="0"/>
        <v>3</v>
      </c>
    </row>
    <row r="22" spans="1:26" ht="23" customHeight="1">
      <c r="A22" s="3" t="s">
        <v>75</v>
      </c>
      <c r="B22" s="3" t="s">
        <v>76</v>
      </c>
      <c r="C22" s="3" t="s">
        <v>77</v>
      </c>
      <c r="D22" s="3" t="s">
        <v>30</v>
      </c>
      <c r="E22" s="3" t="s">
        <v>23</v>
      </c>
      <c r="F22" s="25"/>
      <c r="G22" s="3">
        <v>10</v>
      </c>
      <c r="H22" s="3">
        <v>22</v>
      </c>
      <c r="I22" s="3">
        <v>0</v>
      </c>
      <c r="J22" s="3">
        <v>22</v>
      </c>
      <c r="K22" s="3">
        <v>0</v>
      </c>
      <c r="L22" s="3">
        <v>6</v>
      </c>
      <c r="M22" s="3">
        <v>0</v>
      </c>
      <c r="N22" s="3">
        <v>0</v>
      </c>
      <c r="O22" s="3">
        <v>0</v>
      </c>
      <c r="P22" s="18"/>
      <c r="Q22" s="18"/>
      <c r="R22" s="18"/>
      <c r="S22" s="3"/>
      <c r="T22" s="3">
        <v>0</v>
      </c>
      <c r="U22" s="3">
        <v>-21</v>
      </c>
      <c r="V22" s="3">
        <v>43838.852650465487</v>
      </c>
      <c r="W22" s="22"/>
      <c r="Z22" s="27">
        <f t="shared" si="0"/>
        <v>2.2000000000000002</v>
      </c>
    </row>
    <row r="23" spans="1:26" ht="23" customHeight="1">
      <c r="A23" s="3" t="s">
        <v>78</v>
      </c>
      <c r="B23" s="3" t="s">
        <v>79</v>
      </c>
      <c r="C23" s="3" t="s">
        <v>80</v>
      </c>
      <c r="D23" s="3" t="s">
        <v>22</v>
      </c>
      <c r="E23" s="3" t="s">
        <v>23</v>
      </c>
      <c r="F23" s="25"/>
      <c r="G23" s="3">
        <v>4</v>
      </c>
      <c r="H23" s="3">
        <v>4</v>
      </c>
      <c r="I23" s="3">
        <v>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1</v>
      </c>
      <c r="P23" s="18"/>
      <c r="Q23" s="18"/>
      <c r="R23" s="18"/>
      <c r="S23" s="3"/>
      <c r="T23" s="3">
        <v>0</v>
      </c>
      <c r="U23" s="3">
        <v>-4</v>
      </c>
      <c r="V23" s="3">
        <v>764281.02214285696</v>
      </c>
      <c r="W23" s="22"/>
      <c r="Z23" s="27">
        <f t="shared" si="0"/>
        <v>0.75</v>
      </c>
    </row>
    <row r="24" spans="1:26" ht="23" customHeight="1">
      <c r="A24" s="3" t="s">
        <v>64</v>
      </c>
      <c r="B24" s="3" t="s">
        <v>81</v>
      </c>
      <c r="C24" s="3" t="s">
        <v>82</v>
      </c>
      <c r="D24" s="3" t="s">
        <v>22</v>
      </c>
      <c r="E24" s="3" t="s">
        <v>23</v>
      </c>
      <c r="F24" s="25"/>
      <c r="G24" s="3">
        <v>1</v>
      </c>
      <c r="H24" s="3">
        <v>2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18"/>
      <c r="Q24" s="18"/>
      <c r="R24" s="18"/>
      <c r="S24" s="3"/>
      <c r="T24" s="3">
        <v>0</v>
      </c>
      <c r="U24" s="3">
        <v>-1</v>
      </c>
      <c r="V24" s="3">
        <v>760272.01</v>
      </c>
      <c r="W24" s="22"/>
      <c r="Z24" s="27">
        <f t="shared" si="0"/>
        <v>2</v>
      </c>
    </row>
    <row r="25" spans="1:26" ht="20" customHeight="1">
      <c r="A25" s="3" t="s">
        <v>64</v>
      </c>
      <c r="B25" s="3" t="s">
        <v>83</v>
      </c>
      <c r="C25" s="3" t="s">
        <v>84</v>
      </c>
      <c r="D25" s="3" t="s">
        <v>22</v>
      </c>
      <c r="E25" s="3" t="s">
        <v>23</v>
      </c>
      <c r="F25" s="25"/>
      <c r="G25" s="3">
        <v>1</v>
      </c>
      <c r="H25" s="3">
        <v>3</v>
      </c>
      <c r="I25" s="3">
        <v>0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18"/>
      <c r="Q25" s="18"/>
      <c r="R25" s="18"/>
      <c r="S25" s="3"/>
      <c r="T25" s="3"/>
      <c r="U25" s="3"/>
      <c r="V25" s="3">
        <v>581238.91</v>
      </c>
      <c r="W25" s="22"/>
      <c r="Z25" s="27">
        <f t="shared" si="0"/>
        <v>3</v>
      </c>
    </row>
    <row r="26" spans="1:26" ht="23" customHeight="1">
      <c r="A26" s="3" t="s">
        <v>85</v>
      </c>
      <c r="B26" s="3" t="s">
        <v>86</v>
      </c>
      <c r="C26" s="3" t="s">
        <v>87</v>
      </c>
      <c r="D26" s="3" t="s">
        <v>22</v>
      </c>
      <c r="E26" s="3" t="s">
        <v>23</v>
      </c>
      <c r="F26" s="25"/>
      <c r="G26" s="3">
        <v>2</v>
      </c>
      <c r="H26" s="3">
        <v>4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2</v>
      </c>
      <c r="P26" s="18"/>
      <c r="Q26" s="18"/>
      <c r="R26" s="18"/>
      <c r="S26" s="3"/>
      <c r="T26" s="3">
        <v>-1</v>
      </c>
      <c r="U26" s="3">
        <v>-4</v>
      </c>
      <c r="V26" s="3">
        <v>73841.27</v>
      </c>
      <c r="W26" s="22"/>
      <c r="Z26" s="27">
        <f t="shared" si="0"/>
        <v>1</v>
      </c>
    </row>
    <row r="27" spans="1:26" ht="23" customHeight="1">
      <c r="A27" s="3" t="s">
        <v>88</v>
      </c>
      <c r="B27" s="3" t="s">
        <v>89</v>
      </c>
      <c r="C27" s="3" t="s">
        <v>90</v>
      </c>
      <c r="D27" s="3" t="s">
        <v>22</v>
      </c>
      <c r="E27" s="3" t="s">
        <v>91</v>
      </c>
      <c r="F27" s="25"/>
      <c r="G27" s="3">
        <v>1</v>
      </c>
      <c r="H27" s="3">
        <v>53</v>
      </c>
      <c r="I27" s="3">
        <v>0</v>
      </c>
      <c r="J27" s="3">
        <v>6</v>
      </c>
      <c r="K27" s="3">
        <v>0</v>
      </c>
      <c r="L27" s="3">
        <v>0</v>
      </c>
      <c r="M27" s="3">
        <v>0</v>
      </c>
      <c r="N27" s="3">
        <v>27</v>
      </c>
      <c r="O27" s="3">
        <v>20</v>
      </c>
      <c r="P27" s="18"/>
      <c r="Q27" s="18"/>
      <c r="R27" s="18"/>
      <c r="S27" s="3">
        <v>1</v>
      </c>
      <c r="T27" s="3">
        <v>0</v>
      </c>
      <c r="U27" s="3">
        <v>-49</v>
      </c>
      <c r="V27" s="3">
        <v>89003492.984870285</v>
      </c>
      <c r="W27" s="22"/>
      <c r="Z27" s="27">
        <f t="shared" si="0"/>
        <v>6</v>
      </c>
    </row>
    <row r="28" spans="1:26" ht="23" customHeight="1">
      <c r="A28" s="3" t="s">
        <v>92</v>
      </c>
      <c r="B28" s="3" t="s">
        <v>93</v>
      </c>
      <c r="C28" s="3" t="s">
        <v>94</v>
      </c>
      <c r="D28" s="3" t="s">
        <v>22</v>
      </c>
      <c r="E28" s="3" t="s">
        <v>91</v>
      </c>
      <c r="F28" s="25"/>
      <c r="G28" s="3">
        <v>1</v>
      </c>
      <c r="H28" s="3">
        <v>3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18"/>
      <c r="Q28" s="18"/>
      <c r="R28" s="18"/>
      <c r="S28" s="3"/>
      <c r="T28" s="3"/>
      <c r="U28" s="3"/>
      <c r="V28" s="3">
        <v>720689.04333333333</v>
      </c>
      <c r="W28" s="22"/>
      <c r="Z28" s="27">
        <f t="shared" si="0"/>
        <v>3</v>
      </c>
    </row>
    <row r="29" spans="1:26" ht="23" customHeight="1">
      <c r="A29" s="3" t="s">
        <v>92</v>
      </c>
      <c r="B29" s="3" t="s">
        <v>95</v>
      </c>
      <c r="C29" s="3" t="s">
        <v>84</v>
      </c>
      <c r="D29" s="3" t="s">
        <v>22</v>
      </c>
      <c r="E29" s="3" t="s">
        <v>91</v>
      </c>
      <c r="F29" s="25"/>
      <c r="G29" s="3">
        <v>2</v>
      </c>
      <c r="H29" s="3">
        <v>4</v>
      </c>
      <c r="I29" s="3">
        <v>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18"/>
      <c r="Q29" s="18"/>
      <c r="R29" s="18"/>
      <c r="S29" s="3"/>
      <c r="T29" s="3"/>
      <c r="U29" s="3"/>
      <c r="V29" s="3">
        <v>1106038.721566</v>
      </c>
      <c r="W29" s="22"/>
      <c r="Z29" s="27">
        <f t="shared" si="0"/>
        <v>2</v>
      </c>
    </row>
    <row r="30" spans="1:26" ht="23" customHeight="1">
      <c r="A30" s="3" t="s">
        <v>96</v>
      </c>
      <c r="B30" s="3" t="s">
        <v>97</v>
      </c>
      <c r="C30" s="3" t="s">
        <v>98</v>
      </c>
      <c r="D30" s="3" t="s">
        <v>22</v>
      </c>
      <c r="E30" s="3" t="s">
        <v>91</v>
      </c>
      <c r="F30" s="25"/>
      <c r="G30" s="3">
        <v>2</v>
      </c>
      <c r="H30" s="3">
        <v>2</v>
      </c>
      <c r="I30" s="3">
        <v>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18"/>
      <c r="Q30" s="18"/>
      <c r="R30" s="18"/>
      <c r="S30" s="3">
        <v>1</v>
      </c>
      <c r="T30" s="3">
        <v>0</v>
      </c>
      <c r="U30" s="3">
        <v>-1</v>
      </c>
      <c r="V30" s="3"/>
      <c r="W30" s="22"/>
      <c r="Z30" s="27">
        <f t="shared" si="0"/>
        <v>1</v>
      </c>
    </row>
    <row r="31" spans="1:26" ht="23" customHeight="1">
      <c r="A31" s="3" t="s">
        <v>99</v>
      </c>
      <c r="B31" s="3" t="s">
        <v>100</v>
      </c>
      <c r="C31" s="3" t="s">
        <v>101</v>
      </c>
      <c r="D31" s="3" t="s">
        <v>22</v>
      </c>
      <c r="E31" s="3" t="s">
        <v>91</v>
      </c>
      <c r="F31" s="25"/>
      <c r="G31" s="3">
        <v>4</v>
      </c>
      <c r="H31" s="3">
        <v>9</v>
      </c>
      <c r="I31" s="3">
        <v>0</v>
      </c>
      <c r="J31" s="3">
        <v>6</v>
      </c>
      <c r="K31" s="3">
        <v>2</v>
      </c>
      <c r="L31" s="3">
        <v>2</v>
      </c>
      <c r="M31" s="3">
        <v>0</v>
      </c>
      <c r="N31" s="3">
        <v>0</v>
      </c>
      <c r="O31" s="3">
        <v>1</v>
      </c>
      <c r="P31" s="18"/>
      <c r="Q31" s="18"/>
      <c r="R31" s="18"/>
      <c r="S31" s="3"/>
      <c r="T31" s="3">
        <v>0</v>
      </c>
      <c r="U31" s="3">
        <v>-10</v>
      </c>
      <c r="V31" s="3"/>
      <c r="W31" s="22"/>
      <c r="Z31" s="27">
        <f t="shared" si="0"/>
        <v>1.5</v>
      </c>
    </row>
    <row r="32" spans="1:26" ht="23" customHeight="1">
      <c r="A32" s="3" t="s">
        <v>102</v>
      </c>
      <c r="B32" s="3" t="s">
        <v>103</v>
      </c>
      <c r="C32" s="3" t="s">
        <v>104</v>
      </c>
      <c r="D32" s="3" t="s">
        <v>22</v>
      </c>
      <c r="E32" s="3" t="s">
        <v>23</v>
      </c>
      <c r="F32" s="25"/>
      <c r="G32" s="3">
        <v>1</v>
      </c>
      <c r="H32" s="3">
        <v>2</v>
      </c>
      <c r="I32" s="3">
        <v>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18"/>
      <c r="Q32" s="18"/>
      <c r="R32" s="18"/>
      <c r="S32" s="3"/>
      <c r="T32" s="3">
        <v>0</v>
      </c>
      <c r="U32" s="3">
        <v>-1</v>
      </c>
      <c r="V32" s="3">
        <v>132638.19659000001</v>
      </c>
      <c r="W32" s="22"/>
      <c r="Z32" s="27">
        <f t="shared" si="0"/>
        <v>2</v>
      </c>
    </row>
    <row r="33" spans="1:26" ht="23" customHeight="1">
      <c r="A33" s="3" t="s">
        <v>105</v>
      </c>
      <c r="B33" s="3" t="s">
        <v>106</v>
      </c>
      <c r="C33" s="3" t="s">
        <v>107</v>
      </c>
      <c r="D33" s="3" t="s">
        <v>22</v>
      </c>
      <c r="E33" s="3" t="s">
        <v>91</v>
      </c>
      <c r="F33" s="25"/>
      <c r="G33" s="3">
        <v>1</v>
      </c>
      <c r="H33" s="3">
        <v>1</v>
      </c>
      <c r="I33" s="3">
        <v>0</v>
      </c>
      <c r="J33" s="3">
        <v>1</v>
      </c>
      <c r="K33" s="3">
        <v>0</v>
      </c>
      <c r="L33" s="3">
        <v>0</v>
      </c>
      <c r="M33" s="3">
        <v>1</v>
      </c>
      <c r="N33" s="3">
        <v>0</v>
      </c>
      <c r="O33" s="3">
        <v>0</v>
      </c>
      <c r="P33" s="18"/>
      <c r="Q33" s="18"/>
      <c r="R33" s="18"/>
      <c r="S33" s="3"/>
      <c r="T33" s="3"/>
      <c r="U33" s="3"/>
      <c r="V33" s="3">
        <v>2084815.592496</v>
      </c>
      <c r="W33" s="22"/>
      <c r="Z33" s="27">
        <f t="shared" si="0"/>
        <v>1</v>
      </c>
    </row>
    <row r="34" spans="1:26" ht="23" customHeight="1">
      <c r="A34" s="3" t="s">
        <v>105</v>
      </c>
      <c r="B34" s="3" t="s">
        <v>108</v>
      </c>
      <c r="C34" s="3" t="s">
        <v>109</v>
      </c>
      <c r="D34" s="3" t="s">
        <v>22</v>
      </c>
      <c r="E34" s="3" t="s">
        <v>91</v>
      </c>
      <c r="F34" s="25"/>
      <c r="G34" s="3">
        <v>2</v>
      </c>
      <c r="H34" s="3">
        <v>6</v>
      </c>
      <c r="I34" s="3">
        <v>0</v>
      </c>
      <c r="J34" s="3">
        <v>5</v>
      </c>
      <c r="K34" s="3">
        <v>0</v>
      </c>
      <c r="L34" s="3">
        <v>0</v>
      </c>
      <c r="M34" s="3">
        <v>2</v>
      </c>
      <c r="N34" s="3">
        <v>0</v>
      </c>
      <c r="O34" s="3">
        <v>1</v>
      </c>
      <c r="P34" s="18"/>
      <c r="Q34" s="18"/>
      <c r="R34" s="18"/>
      <c r="S34" s="3"/>
      <c r="T34" s="3">
        <v>0</v>
      </c>
      <c r="U34" s="3">
        <v>-3</v>
      </c>
      <c r="V34" s="3">
        <v>2374392.4759133337</v>
      </c>
      <c r="W34" s="22"/>
      <c r="Z34" s="27">
        <f t="shared" si="0"/>
        <v>2.5</v>
      </c>
    </row>
    <row r="35" spans="1:26" ht="20" customHeight="1">
      <c r="A35" s="3" t="s">
        <v>110</v>
      </c>
      <c r="B35" s="3" t="s">
        <v>111</v>
      </c>
      <c r="C35" s="3" t="s">
        <v>112</v>
      </c>
      <c r="D35" s="3" t="s">
        <v>22</v>
      </c>
      <c r="E35" s="3" t="s">
        <v>91</v>
      </c>
      <c r="F35" s="25"/>
      <c r="G35" s="3">
        <v>1</v>
      </c>
      <c r="H35" s="3">
        <v>5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3">
        <v>1</v>
      </c>
      <c r="O35" s="3">
        <v>2</v>
      </c>
      <c r="P35" s="18"/>
      <c r="Q35" s="18"/>
      <c r="R35" s="18"/>
      <c r="S35" s="3"/>
      <c r="T35" s="3"/>
      <c r="U35" s="3"/>
      <c r="V35" s="3"/>
      <c r="W35" s="22"/>
      <c r="Z35" s="27">
        <f t="shared" si="0"/>
        <v>2</v>
      </c>
    </row>
    <row r="36" spans="1:26" ht="23" customHeight="1">
      <c r="A36" s="3" t="s">
        <v>99</v>
      </c>
      <c r="B36" s="3" t="s">
        <v>113</v>
      </c>
      <c r="C36" s="3" t="s">
        <v>114</v>
      </c>
      <c r="D36" s="3" t="s">
        <v>22</v>
      </c>
      <c r="E36" s="3" t="s">
        <v>91</v>
      </c>
      <c r="F36" s="25"/>
      <c r="G36" s="3">
        <v>1</v>
      </c>
      <c r="H36" s="3">
        <v>3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1</v>
      </c>
      <c r="O36" s="3">
        <v>1</v>
      </c>
      <c r="P36" s="18"/>
      <c r="Q36" s="18"/>
      <c r="R36" s="18"/>
      <c r="S36" s="3"/>
      <c r="T36" s="3">
        <v>0</v>
      </c>
      <c r="U36" s="3">
        <v>-1</v>
      </c>
      <c r="V36" s="3">
        <v>806189.74434988329</v>
      </c>
      <c r="W36" s="22"/>
      <c r="Z36" s="27">
        <f t="shared" si="0"/>
        <v>1</v>
      </c>
    </row>
    <row r="37" spans="1:26" ht="34" customHeight="1">
      <c r="A37" s="3" t="s">
        <v>115</v>
      </c>
      <c r="B37" s="3" t="s">
        <v>116</v>
      </c>
      <c r="C37" s="3" t="s">
        <v>117</v>
      </c>
      <c r="D37" s="3" t="s">
        <v>22</v>
      </c>
      <c r="E37" s="3" t="s">
        <v>91</v>
      </c>
      <c r="F37" s="25"/>
      <c r="G37" s="3">
        <v>1</v>
      </c>
      <c r="H37" s="3">
        <v>2</v>
      </c>
      <c r="I37" s="3">
        <v>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18"/>
      <c r="Q37" s="18"/>
      <c r="R37" s="18"/>
      <c r="S37" s="3"/>
      <c r="T37" s="3"/>
      <c r="U37" s="3"/>
      <c r="V37" s="3">
        <v>615096.52</v>
      </c>
      <c r="W37" s="22"/>
      <c r="Z37" s="27">
        <f t="shared" si="0"/>
        <v>2</v>
      </c>
    </row>
    <row r="38" spans="1:26" ht="23" customHeight="1">
      <c r="A38" s="3" t="s">
        <v>118</v>
      </c>
      <c r="B38" s="3" t="s">
        <v>119</v>
      </c>
      <c r="C38" s="3" t="s">
        <v>120</v>
      </c>
      <c r="D38" s="3" t="s">
        <v>22</v>
      </c>
      <c r="E38" s="3" t="s">
        <v>91</v>
      </c>
      <c r="F38" s="25"/>
      <c r="G38" s="3">
        <v>1</v>
      </c>
      <c r="H38" s="3">
        <v>1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18"/>
      <c r="Q38" s="18"/>
      <c r="R38" s="18"/>
      <c r="S38" s="3"/>
      <c r="T38" s="3"/>
      <c r="U38" s="3"/>
      <c r="V38" s="3"/>
      <c r="W38" s="22"/>
      <c r="Z38" s="27">
        <f t="shared" si="0"/>
        <v>1</v>
      </c>
    </row>
    <row r="39" spans="1:26" ht="34" customHeight="1">
      <c r="A39" s="3" t="s">
        <v>121</v>
      </c>
      <c r="B39" s="3" t="s">
        <v>122</v>
      </c>
      <c r="C39" s="3" t="s">
        <v>123</v>
      </c>
      <c r="D39" s="3" t="s">
        <v>22</v>
      </c>
      <c r="E39" s="3" t="s">
        <v>91</v>
      </c>
      <c r="F39" s="25"/>
      <c r="G39" s="3">
        <v>2</v>
      </c>
      <c r="H39" s="3">
        <v>12</v>
      </c>
      <c r="I39" s="3">
        <v>0</v>
      </c>
      <c r="J39" s="3">
        <v>4</v>
      </c>
      <c r="K39" s="3">
        <v>0</v>
      </c>
      <c r="L39" s="3">
        <v>0</v>
      </c>
      <c r="M39" s="3">
        <v>0</v>
      </c>
      <c r="N39" s="3">
        <v>5</v>
      </c>
      <c r="O39" s="3">
        <v>3</v>
      </c>
      <c r="P39" s="18"/>
      <c r="Q39" s="18"/>
      <c r="R39" s="18"/>
      <c r="S39" s="3"/>
      <c r="T39" s="3"/>
      <c r="U39" s="3"/>
      <c r="V39" s="3">
        <v>6227728.2413333328</v>
      </c>
      <c r="W39" s="22"/>
      <c r="Z39" s="27">
        <f t="shared" si="0"/>
        <v>2</v>
      </c>
    </row>
    <row r="40" spans="1:26" ht="20" customHeight="1">
      <c r="A40" s="3" t="s">
        <v>124</v>
      </c>
      <c r="B40" s="3" t="s">
        <v>125</v>
      </c>
      <c r="C40" s="3" t="s">
        <v>126</v>
      </c>
      <c r="D40" s="3" t="s">
        <v>22</v>
      </c>
      <c r="E40" s="3" t="s">
        <v>91</v>
      </c>
      <c r="F40" s="25"/>
      <c r="G40" s="3">
        <v>2</v>
      </c>
      <c r="H40" s="3">
        <v>6</v>
      </c>
      <c r="I40" s="3">
        <v>0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18"/>
      <c r="Q40" s="18"/>
      <c r="R40" s="18"/>
      <c r="S40" s="3"/>
      <c r="T40" s="3"/>
      <c r="U40" s="3"/>
      <c r="V40" s="3"/>
      <c r="W40" s="22"/>
      <c r="Z40" s="27">
        <f t="shared" si="0"/>
        <v>3</v>
      </c>
    </row>
    <row r="41" spans="1:26" ht="23" customHeight="1">
      <c r="A41" s="3" t="s">
        <v>127</v>
      </c>
      <c r="B41" s="3" t="s">
        <v>128</v>
      </c>
      <c r="C41" s="3" t="s">
        <v>129</v>
      </c>
      <c r="D41" s="3" t="s">
        <v>22</v>
      </c>
      <c r="E41" s="3" t="s">
        <v>91</v>
      </c>
      <c r="F41" s="25"/>
      <c r="G41" s="3">
        <v>1</v>
      </c>
      <c r="H41" s="3">
        <v>3</v>
      </c>
      <c r="I41" s="3">
        <v>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18"/>
      <c r="Q41" s="18"/>
      <c r="R41" s="18"/>
      <c r="S41" s="3"/>
      <c r="T41" s="3">
        <v>0</v>
      </c>
      <c r="U41" s="3">
        <v>-1</v>
      </c>
      <c r="V41" s="3">
        <v>874555.73</v>
      </c>
      <c r="W41" s="22"/>
      <c r="Z41" s="27">
        <f t="shared" si="0"/>
        <v>3</v>
      </c>
    </row>
    <row r="42" spans="1:26" ht="23" customHeight="1">
      <c r="A42" s="3" t="s">
        <v>88</v>
      </c>
      <c r="B42" s="3" t="s">
        <v>130</v>
      </c>
      <c r="C42" s="3" t="s">
        <v>131</v>
      </c>
      <c r="D42" s="3" t="s">
        <v>22</v>
      </c>
      <c r="E42" s="3" t="s">
        <v>23</v>
      </c>
      <c r="F42" s="25"/>
      <c r="G42" s="3">
        <v>1</v>
      </c>
      <c r="H42" s="3">
        <v>1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18"/>
      <c r="Q42" s="18"/>
      <c r="R42" s="18"/>
      <c r="S42" s="3"/>
      <c r="T42" s="3"/>
      <c r="U42" s="3"/>
      <c r="V42" s="3">
        <v>2043265.9511055001</v>
      </c>
      <c r="W42" s="22"/>
      <c r="Z42" s="27">
        <f t="shared" si="0"/>
        <v>1</v>
      </c>
    </row>
    <row r="43" spans="1:26" ht="23" customHeight="1">
      <c r="A43" s="3" t="s">
        <v>132</v>
      </c>
      <c r="B43" s="3" t="s">
        <v>133</v>
      </c>
      <c r="C43" s="3" t="s">
        <v>134</v>
      </c>
      <c r="D43" s="3" t="s">
        <v>22</v>
      </c>
      <c r="E43" s="3" t="s">
        <v>91</v>
      </c>
      <c r="F43" s="25"/>
      <c r="G43" s="3">
        <v>1</v>
      </c>
      <c r="H43" s="3">
        <v>1</v>
      </c>
      <c r="I43" s="3">
        <v>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18"/>
      <c r="Q43" s="18"/>
      <c r="R43" s="18"/>
      <c r="S43" s="3"/>
      <c r="T43" s="3"/>
      <c r="U43" s="3"/>
      <c r="V43" s="3">
        <v>1958667.9102026664</v>
      </c>
      <c r="W43" s="22"/>
      <c r="Z43" s="27">
        <f t="shared" si="0"/>
        <v>1</v>
      </c>
    </row>
    <row r="44" spans="1:26" ht="23" customHeight="1">
      <c r="A44" s="3" t="s">
        <v>118</v>
      </c>
      <c r="B44" s="3" t="s">
        <v>135</v>
      </c>
      <c r="C44" s="3" t="s">
        <v>136</v>
      </c>
      <c r="D44" s="3" t="s">
        <v>22</v>
      </c>
      <c r="E44" s="3" t="s">
        <v>91</v>
      </c>
      <c r="F44" s="25"/>
      <c r="G44" s="3">
        <v>1</v>
      </c>
      <c r="H44" s="3">
        <v>4</v>
      </c>
      <c r="I44" s="3">
        <v>0</v>
      </c>
      <c r="J44" s="3">
        <v>2</v>
      </c>
      <c r="K44" s="3">
        <v>0</v>
      </c>
      <c r="L44" s="3">
        <v>0</v>
      </c>
      <c r="M44" s="3">
        <v>2</v>
      </c>
      <c r="N44" s="3">
        <v>0</v>
      </c>
      <c r="O44" s="3">
        <v>2</v>
      </c>
      <c r="P44" s="18"/>
      <c r="Q44" s="18"/>
      <c r="R44" s="18"/>
      <c r="S44" s="3"/>
      <c r="T44" s="3">
        <v>0</v>
      </c>
      <c r="U44" s="3">
        <v>-2</v>
      </c>
      <c r="V44" s="3">
        <v>859481.7333333334</v>
      </c>
      <c r="W44" s="22"/>
      <c r="Z44" s="27">
        <f t="shared" si="0"/>
        <v>2</v>
      </c>
    </row>
    <row r="45" spans="1:26" ht="20" customHeight="1">
      <c r="A45" s="3" t="s">
        <v>121</v>
      </c>
      <c r="B45" s="3" t="s">
        <v>137</v>
      </c>
      <c r="C45" s="3" t="s">
        <v>138</v>
      </c>
      <c r="D45" s="3" t="s">
        <v>22</v>
      </c>
      <c r="E45" s="3" t="s">
        <v>91</v>
      </c>
      <c r="F45" s="25"/>
      <c r="G45" s="3">
        <v>2</v>
      </c>
      <c r="H45" s="3">
        <v>2</v>
      </c>
      <c r="I45" s="3">
        <v>0</v>
      </c>
      <c r="J45" s="3">
        <v>2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18"/>
      <c r="Q45" s="18"/>
      <c r="R45" s="18"/>
      <c r="S45" s="3"/>
      <c r="T45" s="3">
        <v>0</v>
      </c>
      <c r="U45" s="3">
        <v>-1</v>
      </c>
      <c r="V45" s="3">
        <v>1351466.63</v>
      </c>
      <c r="W45" s="22"/>
      <c r="Z45" s="27">
        <f t="shared" si="0"/>
        <v>1</v>
      </c>
    </row>
    <row r="46" spans="1:26" ht="23" customHeight="1">
      <c r="A46" s="3" t="s">
        <v>118</v>
      </c>
      <c r="B46" s="3" t="s">
        <v>139</v>
      </c>
      <c r="C46" s="3" t="s">
        <v>140</v>
      </c>
      <c r="D46" s="3" t="s">
        <v>22</v>
      </c>
      <c r="E46" s="3" t="s">
        <v>91</v>
      </c>
      <c r="F46" s="25"/>
      <c r="G46" s="3">
        <v>2</v>
      </c>
      <c r="H46" s="3">
        <v>2</v>
      </c>
      <c r="I46" s="3">
        <v>0</v>
      </c>
      <c r="J46" s="3">
        <v>2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18"/>
      <c r="Q46" s="18"/>
      <c r="R46" s="18"/>
      <c r="S46" s="3">
        <v>1</v>
      </c>
      <c r="T46" s="3">
        <v>0</v>
      </c>
      <c r="U46" s="3">
        <v>-1</v>
      </c>
      <c r="V46" s="3">
        <v>5249252.1079764999</v>
      </c>
      <c r="W46" s="22"/>
      <c r="Z46" s="27">
        <f t="shared" si="0"/>
        <v>1</v>
      </c>
    </row>
    <row r="47" spans="1:26" ht="20" customHeight="1">
      <c r="A47" s="3" t="s">
        <v>19</v>
      </c>
      <c r="B47" s="3" t="s">
        <v>141</v>
      </c>
      <c r="C47" s="3" t="s">
        <v>21</v>
      </c>
      <c r="D47" s="3" t="s">
        <v>22</v>
      </c>
      <c r="E47" s="3" t="s">
        <v>23</v>
      </c>
      <c r="F47" s="25"/>
      <c r="G47" s="3">
        <v>1</v>
      </c>
      <c r="H47" s="3">
        <v>3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18"/>
      <c r="Q47" s="18"/>
      <c r="R47" s="18"/>
      <c r="S47" s="3"/>
      <c r="T47" s="3">
        <v>0</v>
      </c>
      <c r="U47" s="3">
        <v>-1</v>
      </c>
      <c r="V47" s="3">
        <v>450000</v>
      </c>
      <c r="W47" s="22"/>
      <c r="Z47" s="27">
        <f t="shared" si="0"/>
        <v>1</v>
      </c>
    </row>
    <row r="48" spans="1:26" ht="23" customHeight="1">
      <c r="A48" s="3" t="s">
        <v>142</v>
      </c>
      <c r="B48" s="3" t="s">
        <v>143</v>
      </c>
      <c r="C48" s="3" t="s">
        <v>144</v>
      </c>
      <c r="D48" s="3" t="s">
        <v>22</v>
      </c>
      <c r="E48" s="3" t="s">
        <v>145</v>
      </c>
      <c r="F48" s="25" t="s">
        <v>146</v>
      </c>
      <c r="G48" s="3">
        <v>1</v>
      </c>
      <c r="H48" s="3">
        <v>3</v>
      </c>
      <c r="I48" s="3">
        <v>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18"/>
      <c r="Q48" s="18"/>
      <c r="R48" s="18"/>
      <c r="S48" s="3">
        <v>2</v>
      </c>
      <c r="T48" s="3">
        <v>0</v>
      </c>
      <c r="U48" s="3">
        <v>-1</v>
      </c>
      <c r="V48" s="3">
        <v>0</v>
      </c>
      <c r="W48" s="22"/>
      <c r="Z48" s="27">
        <f t="shared" si="0"/>
        <v>2</v>
      </c>
    </row>
    <row r="49" spans="1:26" ht="23" customHeight="1">
      <c r="A49" s="3" t="s">
        <v>147</v>
      </c>
      <c r="B49" s="3" t="s">
        <v>148</v>
      </c>
      <c r="C49" s="3" t="s">
        <v>149</v>
      </c>
      <c r="D49" s="3" t="s">
        <v>30</v>
      </c>
      <c r="E49" s="3" t="s">
        <v>23</v>
      </c>
      <c r="F49" s="25"/>
      <c r="G49" s="3">
        <v>1</v>
      </c>
      <c r="H49" s="3">
        <v>1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18"/>
      <c r="Q49" s="18"/>
      <c r="R49" s="18"/>
      <c r="S49" s="3"/>
      <c r="T49" s="3">
        <v>0</v>
      </c>
      <c r="U49" s="3">
        <v>-1</v>
      </c>
      <c r="V49" s="3">
        <v>525363.44363999995</v>
      </c>
      <c r="W49" s="22"/>
      <c r="Z49" s="27">
        <f t="shared" si="0"/>
        <v>1</v>
      </c>
    </row>
    <row r="50" spans="1:26" ht="20" customHeight="1">
      <c r="A50" s="3" t="s">
        <v>147</v>
      </c>
      <c r="B50" s="3" t="s">
        <v>150</v>
      </c>
      <c r="C50" s="3" t="s">
        <v>151</v>
      </c>
      <c r="D50" s="3" t="s">
        <v>22</v>
      </c>
      <c r="E50" s="3" t="s">
        <v>23</v>
      </c>
      <c r="F50" s="25"/>
      <c r="G50" s="3">
        <v>1</v>
      </c>
      <c r="H50" s="3">
        <v>2</v>
      </c>
      <c r="I50" s="3">
        <v>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18"/>
      <c r="Q50" s="18"/>
      <c r="R50" s="18"/>
      <c r="S50" s="3"/>
      <c r="T50" s="3"/>
      <c r="U50" s="3"/>
      <c r="V50" s="3">
        <v>219565.9</v>
      </c>
      <c r="W50" s="22"/>
      <c r="Z50" s="27">
        <f t="shared" si="0"/>
        <v>2</v>
      </c>
    </row>
    <row r="51" spans="1:26" ht="23" customHeight="1">
      <c r="A51" s="3" t="s">
        <v>152</v>
      </c>
      <c r="B51" s="3" t="s">
        <v>153</v>
      </c>
      <c r="C51" s="3" t="s">
        <v>154</v>
      </c>
      <c r="D51" s="3" t="s">
        <v>22</v>
      </c>
      <c r="E51" s="3" t="s">
        <v>23</v>
      </c>
      <c r="F51" s="25"/>
      <c r="G51" s="3">
        <v>1</v>
      </c>
      <c r="H51" s="3">
        <v>12</v>
      </c>
      <c r="I51" s="3">
        <v>0</v>
      </c>
      <c r="J51" s="3">
        <v>4</v>
      </c>
      <c r="K51" s="3">
        <v>0</v>
      </c>
      <c r="L51" s="3">
        <v>0</v>
      </c>
      <c r="M51" s="3">
        <v>0</v>
      </c>
      <c r="N51" s="3">
        <v>3</v>
      </c>
      <c r="O51" s="3">
        <v>5</v>
      </c>
      <c r="P51" s="18"/>
      <c r="Q51" s="18"/>
      <c r="R51" s="18"/>
      <c r="S51" s="3"/>
      <c r="T51" s="3">
        <v>0</v>
      </c>
      <c r="U51" s="3">
        <v>-11</v>
      </c>
      <c r="V51" s="3">
        <v>6666618.8186999997</v>
      </c>
      <c r="W51" s="22"/>
      <c r="Z51" s="27">
        <f t="shared" si="0"/>
        <v>4</v>
      </c>
    </row>
    <row r="52" spans="1:26" ht="20" customHeight="1">
      <c r="A52" s="3" t="s">
        <v>155</v>
      </c>
      <c r="B52" s="3" t="s">
        <v>156</v>
      </c>
      <c r="C52" s="3" t="s">
        <v>157</v>
      </c>
      <c r="D52" s="3" t="s">
        <v>22</v>
      </c>
      <c r="E52" s="3" t="s">
        <v>23</v>
      </c>
      <c r="F52" s="25"/>
      <c r="G52" s="3">
        <v>2</v>
      </c>
      <c r="H52" s="3">
        <v>4</v>
      </c>
      <c r="I52" s="3">
        <v>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18"/>
      <c r="Q52" s="18"/>
      <c r="R52" s="18"/>
      <c r="S52" s="3">
        <v>1</v>
      </c>
      <c r="T52" s="3"/>
      <c r="U52" s="3"/>
      <c r="V52" s="3">
        <v>1340049.3500000001</v>
      </c>
      <c r="W52" s="22"/>
      <c r="Z52" s="27">
        <f t="shared" si="0"/>
        <v>2</v>
      </c>
    </row>
    <row r="53" spans="1:26" ht="23" customHeight="1">
      <c r="A53" s="3" t="s">
        <v>110</v>
      </c>
      <c r="B53" s="3" t="s">
        <v>158</v>
      </c>
      <c r="C53" s="3" t="s">
        <v>159</v>
      </c>
      <c r="D53" s="3" t="s">
        <v>22</v>
      </c>
      <c r="E53" s="3" t="s">
        <v>145</v>
      </c>
      <c r="F53" s="25"/>
      <c r="G53" s="3">
        <v>4</v>
      </c>
      <c r="H53" s="3">
        <v>19</v>
      </c>
      <c r="I53" s="3">
        <v>0</v>
      </c>
      <c r="J53" s="3">
        <v>12</v>
      </c>
      <c r="K53" s="3">
        <v>0</v>
      </c>
      <c r="L53" s="3">
        <v>0</v>
      </c>
      <c r="M53" s="3">
        <v>0</v>
      </c>
      <c r="N53" s="3">
        <v>2</v>
      </c>
      <c r="O53" s="3">
        <v>5</v>
      </c>
      <c r="P53" s="18"/>
      <c r="Q53" s="18"/>
      <c r="R53" s="18"/>
      <c r="S53" s="3"/>
      <c r="T53" s="3">
        <v>-5</v>
      </c>
      <c r="U53" s="3">
        <v>-21</v>
      </c>
      <c r="V53" s="3">
        <v>797828.28042407404</v>
      </c>
      <c r="W53" s="22"/>
      <c r="Z53" s="27">
        <f t="shared" si="0"/>
        <v>3</v>
      </c>
    </row>
    <row r="54" spans="1:26" ht="23" customHeight="1">
      <c r="A54" s="3" t="s">
        <v>160</v>
      </c>
      <c r="B54" s="3" t="s">
        <v>161</v>
      </c>
      <c r="C54" s="3" t="s">
        <v>162</v>
      </c>
      <c r="D54" s="3" t="s">
        <v>30</v>
      </c>
      <c r="E54" s="3" t="s">
        <v>23</v>
      </c>
      <c r="F54" s="25"/>
      <c r="G54" s="3">
        <v>1</v>
      </c>
      <c r="H54" s="3">
        <v>4</v>
      </c>
      <c r="I54" s="3">
        <v>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2</v>
      </c>
      <c r="P54" s="18"/>
      <c r="Q54" s="18"/>
      <c r="R54" s="18"/>
      <c r="S54" s="3"/>
      <c r="T54" s="3">
        <v>0</v>
      </c>
      <c r="U54" s="3">
        <v>-2</v>
      </c>
      <c r="V54" s="3">
        <v>702221.05599999998</v>
      </c>
      <c r="W54" s="22"/>
      <c r="Z54" s="27">
        <f t="shared" si="0"/>
        <v>2</v>
      </c>
    </row>
    <row r="55" spans="1:26" ht="23" customHeight="1">
      <c r="A55" s="3" t="s">
        <v>152</v>
      </c>
      <c r="B55" s="3" t="s">
        <v>163</v>
      </c>
      <c r="C55" s="3" t="s">
        <v>164</v>
      </c>
      <c r="D55" s="3" t="s">
        <v>22</v>
      </c>
      <c r="E55" s="3" t="s">
        <v>23</v>
      </c>
      <c r="F55" s="25"/>
      <c r="G55" s="3">
        <v>1</v>
      </c>
      <c r="H55" s="3">
        <v>3</v>
      </c>
      <c r="I55" s="3">
        <v>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18"/>
      <c r="Q55" s="18"/>
      <c r="R55" s="18"/>
      <c r="S55" s="3"/>
      <c r="T55" s="3">
        <v>0</v>
      </c>
      <c r="U55" s="3">
        <v>-1</v>
      </c>
      <c r="V55" s="3">
        <v>48267.15</v>
      </c>
      <c r="W55" s="22"/>
      <c r="Z55" s="27">
        <f t="shared" si="0"/>
        <v>3</v>
      </c>
    </row>
    <row r="56" spans="1:26" ht="23" customHeight="1">
      <c r="A56" s="3" t="s">
        <v>152</v>
      </c>
      <c r="B56" s="3" t="s">
        <v>165</v>
      </c>
      <c r="C56" s="3" t="s">
        <v>166</v>
      </c>
      <c r="D56" s="3" t="s">
        <v>22</v>
      </c>
      <c r="E56" s="3" t="s">
        <v>23</v>
      </c>
      <c r="F56" s="25"/>
      <c r="G56" s="3">
        <v>1</v>
      </c>
      <c r="H56" s="3">
        <v>1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18"/>
      <c r="Q56" s="18"/>
      <c r="R56" s="18"/>
      <c r="S56" s="3"/>
      <c r="T56" s="3">
        <v>0</v>
      </c>
      <c r="U56" s="3">
        <v>-1</v>
      </c>
      <c r="V56" s="3">
        <v>234320.84375</v>
      </c>
      <c r="W56" s="22"/>
      <c r="Z56" s="27">
        <f t="shared" si="0"/>
        <v>1</v>
      </c>
    </row>
    <row r="57" spans="1:26" ht="23" customHeight="1">
      <c r="A57" s="3" t="s">
        <v>152</v>
      </c>
      <c r="B57" s="3" t="s">
        <v>167</v>
      </c>
      <c r="C57" s="3" t="s">
        <v>168</v>
      </c>
      <c r="D57" s="3" t="s">
        <v>22</v>
      </c>
      <c r="E57" s="3" t="s">
        <v>23</v>
      </c>
      <c r="F57" s="25"/>
      <c r="G57" s="3">
        <v>1</v>
      </c>
      <c r="H57" s="3">
        <v>4</v>
      </c>
      <c r="I57" s="3">
        <v>0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18"/>
      <c r="Q57" s="18"/>
      <c r="R57" s="18"/>
      <c r="S57" s="3"/>
      <c r="T57" s="3"/>
      <c r="U57" s="3"/>
      <c r="V57" s="3"/>
      <c r="W57" s="22"/>
      <c r="Z57" s="27">
        <f t="shared" si="0"/>
        <v>4</v>
      </c>
    </row>
    <row r="58" spans="1:26" ht="23" customHeight="1">
      <c r="A58" s="3" t="s">
        <v>152</v>
      </c>
      <c r="B58" s="3" t="s">
        <v>169</v>
      </c>
      <c r="C58" s="3" t="s">
        <v>170</v>
      </c>
      <c r="D58" s="3" t="s">
        <v>22</v>
      </c>
      <c r="E58" s="3" t="s">
        <v>23</v>
      </c>
      <c r="F58" s="25"/>
      <c r="G58" s="3">
        <v>2</v>
      </c>
      <c r="H58" s="3">
        <v>13</v>
      </c>
      <c r="I58" s="3">
        <v>0</v>
      </c>
      <c r="J58" s="3">
        <v>11</v>
      </c>
      <c r="K58" s="3">
        <v>1</v>
      </c>
      <c r="L58" s="3">
        <v>0</v>
      </c>
      <c r="M58" s="3">
        <v>0</v>
      </c>
      <c r="N58" s="3">
        <v>0</v>
      </c>
      <c r="O58" s="3">
        <v>1</v>
      </c>
      <c r="P58" s="18"/>
      <c r="Q58" s="18"/>
      <c r="R58" s="18"/>
      <c r="S58" s="3"/>
      <c r="T58" s="3">
        <v>-1</v>
      </c>
      <c r="U58" s="3">
        <v>-7</v>
      </c>
      <c r="V58" s="3">
        <v>208506.69</v>
      </c>
      <c r="W58" s="22"/>
      <c r="Z58" s="27">
        <f t="shared" si="0"/>
        <v>5.5</v>
      </c>
    </row>
    <row r="59" spans="1:26" ht="23" customHeight="1">
      <c r="A59" s="3" t="s">
        <v>171</v>
      </c>
      <c r="B59" s="3" t="s">
        <v>172</v>
      </c>
      <c r="C59" s="3" t="s">
        <v>170</v>
      </c>
      <c r="D59" s="3" t="s">
        <v>22</v>
      </c>
      <c r="E59" s="3" t="s">
        <v>23</v>
      </c>
      <c r="F59" s="25"/>
      <c r="G59" s="3">
        <v>2</v>
      </c>
      <c r="H59" s="3">
        <v>7</v>
      </c>
      <c r="I59" s="3">
        <v>0</v>
      </c>
      <c r="J59" s="3">
        <v>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18"/>
      <c r="Q59" s="18"/>
      <c r="R59" s="18"/>
      <c r="S59" s="3"/>
      <c r="T59" s="3">
        <v>0</v>
      </c>
      <c r="U59" s="3">
        <v>-3</v>
      </c>
      <c r="V59" s="3"/>
      <c r="W59" s="22"/>
      <c r="Z59" s="27">
        <f t="shared" si="0"/>
        <v>3.5</v>
      </c>
    </row>
    <row r="60" spans="1:26" ht="23" customHeight="1">
      <c r="A60" s="3" t="s">
        <v>152</v>
      </c>
      <c r="B60" s="3" t="s">
        <v>173</v>
      </c>
      <c r="C60" s="3" t="s">
        <v>174</v>
      </c>
      <c r="D60" s="3" t="s">
        <v>22</v>
      </c>
      <c r="E60" s="3" t="s">
        <v>23</v>
      </c>
      <c r="F60" s="25"/>
      <c r="G60" s="3">
        <v>1</v>
      </c>
      <c r="H60" s="3">
        <v>2</v>
      </c>
      <c r="I60" s="3">
        <v>0</v>
      </c>
      <c r="J60" s="3">
        <v>1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  <c r="P60" s="18"/>
      <c r="Q60" s="18"/>
      <c r="R60" s="18"/>
      <c r="S60" s="3"/>
      <c r="T60" s="3"/>
      <c r="U60" s="3"/>
      <c r="V60" s="3"/>
      <c r="W60" s="22"/>
      <c r="Z60" s="27">
        <f t="shared" si="0"/>
        <v>1</v>
      </c>
    </row>
    <row r="61" spans="1:26" ht="34" customHeight="1">
      <c r="A61" s="3" t="s">
        <v>24</v>
      </c>
      <c r="B61" s="3" t="s">
        <v>175</v>
      </c>
      <c r="C61" s="3" t="s">
        <v>176</v>
      </c>
      <c r="D61" s="3" t="s">
        <v>22</v>
      </c>
      <c r="E61" s="3" t="s">
        <v>23</v>
      </c>
      <c r="F61" s="25"/>
      <c r="G61" s="3">
        <v>1</v>
      </c>
      <c r="H61" s="3">
        <v>2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18"/>
      <c r="Q61" s="18"/>
      <c r="R61" s="18"/>
      <c r="S61" s="3"/>
      <c r="T61" s="3"/>
      <c r="U61" s="3"/>
      <c r="V61" s="3">
        <v>244100.74</v>
      </c>
      <c r="W61" s="22"/>
      <c r="Z61" s="27">
        <f t="shared" si="0"/>
        <v>1</v>
      </c>
    </row>
    <row r="62" spans="1:26" ht="23" customHeight="1">
      <c r="A62" s="3" t="s">
        <v>24</v>
      </c>
      <c r="B62" s="3" t="s">
        <v>177</v>
      </c>
      <c r="C62" s="3" t="s">
        <v>178</v>
      </c>
      <c r="D62" s="3" t="s">
        <v>30</v>
      </c>
      <c r="E62" s="3" t="s">
        <v>23</v>
      </c>
      <c r="F62" s="25"/>
      <c r="G62" s="3">
        <v>1</v>
      </c>
      <c r="H62" s="3">
        <v>1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18"/>
      <c r="Q62" s="18"/>
      <c r="R62" s="18"/>
      <c r="S62" s="3"/>
      <c r="T62" s="3"/>
      <c r="U62" s="3"/>
      <c r="V62" s="3">
        <v>0</v>
      </c>
      <c r="W62" s="22"/>
      <c r="Z62" s="27">
        <f t="shared" si="0"/>
        <v>1</v>
      </c>
    </row>
    <row r="63" spans="1:26" ht="34" customHeight="1">
      <c r="A63" s="3" t="s">
        <v>179</v>
      </c>
      <c r="B63" s="3" t="s">
        <v>180</v>
      </c>
      <c r="C63" s="3" t="s">
        <v>181</v>
      </c>
      <c r="D63" s="3" t="s">
        <v>22</v>
      </c>
      <c r="E63" s="3" t="s">
        <v>23</v>
      </c>
      <c r="F63" s="25"/>
      <c r="G63" s="3">
        <v>1</v>
      </c>
      <c r="H63" s="3">
        <v>1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18"/>
      <c r="Q63" s="18"/>
      <c r="R63" s="18"/>
      <c r="S63" s="3"/>
      <c r="T63" s="3"/>
      <c r="U63" s="3"/>
      <c r="V63" s="3">
        <v>144728.41500000001</v>
      </c>
      <c r="W63" s="22"/>
      <c r="Z63" s="27">
        <f t="shared" si="0"/>
        <v>1</v>
      </c>
    </row>
    <row r="64" spans="1:26" ht="34" customHeight="1">
      <c r="A64" s="3" t="s">
        <v>179</v>
      </c>
      <c r="B64" s="3" t="s">
        <v>182</v>
      </c>
      <c r="C64" s="3" t="s">
        <v>183</v>
      </c>
      <c r="D64" s="3" t="s">
        <v>22</v>
      </c>
      <c r="E64" s="3" t="s">
        <v>23</v>
      </c>
      <c r="F64" s="25"/>
      <c r="G64" s="3">
        <v>1</v>
      </c>
      <c r="H64" s="3">
        <v>3</v>
      </c>
      <c r="I64" s="3">
        <v>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18"/>
      <c r="Q64" s="18"/>
      <c r="R64" s="18"/>
      <c r="S64" s="3"/>
      <c r="T64" s="3"/>
      <c r="U64" s="3"/>
      <c r="V64" s="3">
        <v>1980571.8</v>
      </c>
      <c r="W64" s="22"/>
      <c r="Z64" s="27">
        <f t="shared" si="0"/>
        <v>3</v>
      </c>
    </row>
    <row r="65" spans="1:26" ht="23" customHeight="1">
      <c r="A65" s="3" t="s">
        <v>92</v>
      </c>
      <c r="B65" s="3" t="s">
        <v>184</v>
      </c>
      <c r="C65" s="3" t="s">
        <v>185</v>
      </c>
      <c r="D65" s="3" t="s">
        <v>22</v>
      </c>
      <c r="E65" s="3" t="s">
        <v>23</v>
      </c>
      <c r="F65" s="25"/>
      <c r="G65" s="3">
        <v>2</v>
      </c>
      <c r="H65" s="3">
        <v>5</v>
      </c>
      <c r="I65" s="3">
        <v>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1</v>
      </c>
      <c r="P65" s="18"/>
      <c r="Q65" s="18"/>
      <c r="R65" s="18"/>
      <c r="S65" s="3"/>
      <c r="T65" s="3">
        <v>0</v>
      </c>
      <c r="U65" s="3">
        <v>-3</v>
      </c>
      <c r="V65" s="3">
        <v>609453.36666666658</v>
      </c>
      <c r="W65" s="22"/>
      <c r="Z65" s="27">
        <f t="shared" si="0"/>
        <v>2</v>
      </c>
    </row>
    <row r="66" spans="1:26" ht="20" customHeight="1">
      <c r="A66" s="3" t="s">
        <v>186</v>
      </c>
      <c r="B66" s="3" t="s">
        <v>187</v>
      </c>
      <c r="C66" s="3" t="s">
        <v>188</v>
      </c>
      <c r="D66" s="3" t="s">
        <v>22</v>
      </c>
      <c r="E66" s="3" t="s">
        <v>23</v>
      </c>
      <c r="F66" s="25"/>
      <c r="G66" s="3">
        <v>4</v>
      </c>
      <c r="H66" s="3">
        <v>43</v>
      </c>
      <c r="I66" s="3">
        <v>0</v>
      </c>
      <c r="J66" s="3">
        <v>21</v>
      </c>
      <c r="K66" s="3">
        <v>0</v>
      </c>
      <c r="L66" s="3">
        <v>0</v>
      </c>
      <c r="M66" s="3">
        <v>0</v>
      </c>
      <c r="N66" s="3">
        <v>3</v>
      </c>
      <c r="O66" s="3">
        <v>19</v>
      </c>
      <c r="P66" s="18"/>
      <c r="Q66" s="18"/>
      <c r="R66" s="18"/>
      <c r="S66" s="3"/>
      <c r="T66" s="3">
        <v>-2</v>
      </c>
      <c r="U66" s="3">
        <v>-35</v>
      </c>
      <c r="V66" s="3"/>
      <c r="W66" s="22"/>
      <c r="Z66" s="27">
        <f t="shared" si="0"/>
        <v>5.25</v>
      </c>
    </row>
    <row r="67" spans="1:26" ht="23" customHeight="1">
      <c r="A67" s="3" t="s">
        <v>124</v>
      </c>
      <c r="B67" s="3" t="s">
        <v>189</v>
      </c>
      <c r="C67" s="3" t="s">
        <v>190</v>
      </c>
      <c r="D67" s="3" t="s">
        <v>22</v>
      </c>
      <c r="E67" s="3" t="s">
        <v>145</v>
      </c>
      <c r="F67" s="25"/>
      <c r="G67" s="3">
        <v>2</v>
      </c>
      <c r="H67" s="3">
        <v>5</v>
      </c>
      <c r="I67" s="3">
        <v>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1</v>
      </c>
      <c r="P67" s="18"/>
      <c r="Q67" s="18"/>
      <c r="R67" s="18"/>
      <c r="S67" s="3"/>
      <c r="T67" s="3">
        <v>0</v>
      </c>
      <c r="U67" s="3">
        <v>-1</v>
      </c>
      <c r="V67" s="3">
        <v>486764.58600000001</v>
      </c>
      <c r="W67" s="22"/>
      <c r="Z67" s="27">
        <f t="shared" si="0"/>
        <v>2</v>
      </c>
    </row>
    <row r="68" spans="1:26" ht="34" customHeight="1">
      <c r="A68" s="3" t="s">
        <v>191</v>
      </c>
      <c r="B68" s="3" t="s">
        <v>192</v>
      </c>
      <c r="C68" s="3" t="s">
        <v>193</v>
      </c>
      <c r="D68" s="3" t="s">
        <v>22</v>
      </c>
      <c r="E68" s="3" t="s">
        <v>145</v>
      </c>
      <c r="F68" s="25"/>
      <c r="G68" s="3">
        <v>3</v>
      </c>
      <c r="H68" s="3">
        <v>3</v>
      </c>
      <c r="I68" s="3">
        <v>0</v>
      </c>
      <c r="J68" s="3">
        <v>3</v>
      </c>
      <c r="K68" s="3">
        <v>0</v>
      </c>
      <c r="L68" s="3">
        <v>2</v>
      </c>
      <c r="M68" s="3">
        <v>0</v>
      </c>
      <c r="N68" s="3">
        <v>0</v>
      </c>
      <c r="O68" s="3">
        <v>0</v>
      </c>
      <c r="P68" s="18"/>
      <c r="Q68" s="18"/>
      <c r="R68" s="18"/>
      <c r="S68" s="3">
        <v>29</v>
      </c>
      <c r="T68" s="3">
        <v>-2</v>
      </c>
      <c r="U68" s="3">
        <v>-13</v>
      </c>
      <c r="V68" s="3">
        <v>356825.52399999998</v>
      </c>
      <c r="W68" s="22"/>
      <c r="Z68" s="27">
        <f t="shared" ref="Z68:Z131" si="1">J68/G68</f>
        <v>1</v>
      </c>
    </row>
    <row r="69" spans="1:26" ht="23" customHeight="1">
      <c r="A69" s="3" t="s">
        <v>194</v>
      </c>
      <c r="B69" s="3" t="s">
        <v>195</v>
      </c>
      <c r="C69" s="3" t="s">
        <v>196</v>
      </c>
      <c r="D69" s="3" t="s">
        <v>22</v>
      </c>
      <c r="E69" s="3" t="s">
        <v>23</v>
      </c>
      <c r="F69" s="25"/>
      <c r="G69" s="3">
        <v>2</v>
      </c>
      <c r="H69" s="3">
        <v>3</v>
      </c>
      <c r="I69" s="3">
        <v>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18"/>
      <c r="Q69" s="18"/>
      <c r="R69" s="18"/>
      <c r="S69" s="3"/>
      <c r="T69" s="3">
        <v>0</v>
      </c>
      <c r="U69" s="3">
        <v>-1</v>
      </c>
      <c r="V69" s="3">
        <v>302825.56794444442</v>
      </c>
      <c r="W69" s="22"/>
      <c r="Z69" s="27">
        <f t="shared" si="1"/>
        <v>1.5</v>
      </c>
    </row>
    <row r="70" spans="1:26" ht="23" customHeight="1">
      <c r="A70" s="3" t="s">
        <v>197</v>
      </c>
      <c r="B70" s="3" t="s">
        <v>198</v>
      </c>
      <c r="C70" s="3" t="s">
        <v>199</v>
      </c>
      <c r="D70" s="3" t="s">
        <v>22</v>
      </c>
      <c r="E70" s="3" t="s">
        <v>23</v>
      </c>
      <c r="F70" s="25"/>
      <c r="G70" s="3">
        <v>2</v>
      </c>
      <c r="H70" s="3">
        <v>4</v>
      </c>
      <c r="I70" s="3">
        <v>0</v>
      </c>
      <c r="J70" s="3">
        <v>2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18"/>
      <c r="Q70" s="18"/>
      <c r="R70" s="18"/>
      <c r="S70" s="3"/>
      <c r="T70" s="3">
        <v>0</v>
      </c>
      <c r="U70" s="3">
        <v>-1</v>
      </c>
      <c r="V70" s="3"/>
      <c r="W70" s="22"/>
      <c r="Z70" s="27">
        <f t="shared" si="1"/>
        <v>1</v>
      </c>
    </row>
    <row r="71" spans="1:26" ht="23" customHeight="1">
      <c r="A71" s="3" t="s">
        <v>200</v>
      </c>
      <c r="B71" s="3" t="s">
        <v>201</v>
      </c>
      <c r="C71" s="3" t="s">
        <v>202</v>
      </c>
      <c r="D71" s="3" t="s">
        <v>22</v>
      </c>
      <c r="E71" s="3" t="s">
        <v>23</v>
      </c>
      <c r="F71" s="25"/>
      <c r="G71" s="3">
        <v>1</v>
      </c>
      <c r="H71" s="3">
        <v>7</v>
      </c>
      <c r="I71" s="3">
        <v>0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18"/>
      <c r="Q71" s="18"/>
      <c r="R71" s="18"/>
      <c r="S71" s="3"/>
      <c r="T71" s="3"/>
      <c r="U71" s="3"/>
      <c r="V71" s="3">
        <v>1869.56</v>
      </c>
      <c r="W71" s="22"/>
      <c r="Z71" s="27">
        <f t="shared" si="1"/>
        <v>7</v>
      </c>
    </row>
    <row r="72" spans="1:26" ht="23" customHeight="1">
      <c r="A72" s="3" t="s">
        <v>200</v>
      </c>
      <c r="B72" s="3" t="s">
        <v>203</v>
      </c>
      <c r="C72" s="3" t="s">
        <v>204</v>
      </c>
      <c r="D72" s="3" t="s">
        <v>22</v>
      </c>
      <c r="E72" s="3" t="s">
        <v>23</v>
      </c>
      <c r="F72" s="25"/>
      <c r="G72" s="3">
        <v>5</v>
      </c>
      <c r="H72" s="3">
        <v>15</v>
      </c>
      <c r="I72" s="3">
        <v>0</v>
      </c>
      <c r="J72" s="3">
        <v>12</v>
      </c>
      <c r="K72" s="3">
        <v>0</v>
      </c>
      <c r="L72" s="3">
        <v>0</v>
      </c>
      <c r="M72" s="3">
        <v>0</v>
      </c>
      <c r="N72" s="3">
        <v>0</v>
      </c>
      <c r="O72" s="3">
        <v>3</v>
      </c>
      <c r="P72" s="18"/>
      <c r="Q72" s="18"/>
      <c r="R72" s="18"/>
      <c r="S72" s="3"/>
      <c r="T72" s="3">
        <v>0</v>
      </c>
      <c r="U72" s="3">
        <v>-9</v>
      </c>
      <c r="V72" s="3">
        <v>368618.0297142858</v>
      </c>
      <c r="W72" s="22"/>
      <c r="Z72" s="27">
        <f t="shared" si="1"/>
        <v>2.4</v>
      </c>
    </row>
    <row r="73" spans="1:26" ht="34" customHeight="1">
      <c r="A73" s="3" t="s">
        <v>200</v>
      </c>
      <c r="B73" s="3" t="s">
        <v>205</v>
      </c>
      <c r="C73" s="3" t="s">
        <v>206</v>
      </c>
      <c r="D73" s="3" t="s">
        <v>22</v>
      </c>
      <c r="E73" s="3" t="s">
        <v>23</v>
      </c>
      <c r="F73" s="25"/>
      <c r="G73" s="3">
        <v>2</v>
      </c>
      <c r="H73" s="3">
        <v>5</v>
      </c>
      <c r="I73" s="3">
        <v>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3</v>
      </c>
      <c r="P73" s="18"/>
      <c r="Q73" s="18"/>
      <c r="R73" s="18"/>
      <c r="S73" s="3"/>
      <c r="T73" s="3">
        <v>-1</v>
      </c>
      <c r="U73" s="3">
        <v>-5</v>
      </c>
      <c r="V73" s="3"/>
      <c r="W73" s="22"/>
      <c r="Z73" s="27">
        <f t="shared" si="1"/>
        <v>1</v>
      </c>
    </row>
    <row r="74" spans="1:26" ht="23" customHeight="1">
      <c r="A74" s="3" t="s">
        <v>200</v>
      </c>
      <c r="B74" s="3" t="s">
        <v>207</v>
      </c>
      <c r="C74" s="3" t="s">
        <v>208</v>
      </c>
      <c r="D74" s="3" t="s">
        <v>22</v>
      </c>
      <c r="E74" s="3" t="s">
        <v>23</v>
      </c>
      <c r="F74" s="25"/>
      <c r="G74" s="3">
        <v>2</v>
      </c>
      <c r="H74" s="3">
        <v>5</v>
      </c>
      <c r="I74" s="3">
        <v>0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18"/>
      <c r="Q74" s="18"/>
      <c r="R74" s="18"/>
      <c r="S74" s="3"/>
      <c r="T74" s="3"/>
      <c r="U74" s="3"/>
      <c r="V74" s="3">
        <v>307666.5</v>
      </c>
      <c r="W74" s="22"/>
      <c r="Z74" s="27">
        <f t="shared" si="1"/>
        <v>2.5</v>
      </c>
    </row>
    <row r="75" spans="1:26" ht="23" customHeight="1">
      <c r="A75" s="3" t="s">
        <v>200</v>
      </c>
      <c r="B75" s="3" t="s">
        <v>209</v>
      </c>
      <c r="C75" s="3" t="s">
        <v>210</v>
      </c>
      <c r="D75" s="3" t="s">
        <v>30</v>
      </c>
      <c r="E75" s="3" t="s">
        <v>23</v>
      </c>
      <c r="F75" s="25"/>
      <c r="G75" s="3">
        <v>2</v>
      </c>
      <c r="H75" s="3">
        <v>5</v>
      </c>
      <c r="I75" s="3">
        <v>0</v>
      </c>
      <c r="J75" s="3">
        <v>2</v>
      </c>
      <c r="K75" s="3">
        <v>0</v>
      </c>
      <c r="L75" s="3">
        <v>0</v>
      </c>
      <c r="M75" s="3">
        <v>0</v>
      </c>
      <c r="N75" s="3">
        <v>1</v>
      </c>
      <c r="O75" s="3">
        <v>2</v>
      </c>
      <c r="P75" s="18"/>
      <c r="Q75" s="18"/>
      <c r="R75" s="18"/>
      <c r="S75" s="3"/>
      <c r="T75" s="3">
        <v>0</v>
      </c>
      <c r="U75" s="3">
        <v>-4</v>
      </c>
      <c r="V75" s="3">
        <v>184974.89920000001</v>
      </c>
      <c r="W75" s="22"/>
      <c r="Z75" s="27">
        <f t="shared" si="1"/>
        <v>1</v>
      </c>
    </row>
    <row r="76" spans="1:26" ht="20" customHeight="1">
      <c r="A76" s="3" t="s">
        <v>200</v>
      </c>
      <c r="B76" s="3" t="s">
        <v>211</v>
      </c>
      <c r="C76" s="3" t="s">
        <v>212</v>
      </c>
      <c r="D76" s="3" t="s">
        <v>30</v>
      </c>
      <c r="E76" s="3" t="s">
        <v>23</v>
      </c>
      <c r="F76" s="25"/>
      <c r="G76" s="3">
        <v>8</v>
      </c>
      <c r="H76" s="3">
        <v>40</v>
      </c>
      <c r="I76" s="3">
        <v>0</v>
      </c>
      <c r="J76" s="3">
        <v>32</v>
      </c>
      <c r="K76" s="3">
        <v>0</v>
      </c>
      <c r="L76" s="3">
        <v>0</v>
      </c>
      <c r="M76" s="3">
        <v>0</v>
      </c>
      <c r="N76" s="3">
        <v>0</v>
      </c>
      <c r="O76" s="3">
        <v>8</v>
      </c>
      <c r="P76" s="18"/>
      <c r="Q76" s="18"/>
      <c r="R76" s="18"/>
      <c r="S76" s="3"/>
      <c r="T76" s="3">
        <v>-1</v>
      </c>
      <c r="U76" s="3">
        <v>-40</v>
      </c>
      <c r="V76" s="3"/>
      <c r="W76" s="22"/>
      <c r="Z76" s="27">
        <f t="shared" si="1"/>
        <v>4</v>
      </c>
    </row>
    <row r="77" spans="1:26" ht="20" customHeight="1">
      <c r="A77" s="3" t="s">
        <v>213</v>
      </c>
      <c r="B77" s="3" t="s">
        <v>214</v>
      </c>
      <c r="C77" s="3" t="s">
        <v>215</v>
      </c>
      <c r="D77" s="3" t="s">
        <v>22</v>
      </c>
      <c r="E77" s="3" t="s">
        <v>23</v>
      </c>
      <c r="F77" s="25"/>
      <c r="G77" s="3">
        <v>1</v>
      </c>
      <c r="H77" s="3">
        <v>5</v>
      </c>
      <c r="I77" s="3">
        <v>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18"/>
      <c r="Q77" s="18"/>
      <c r="R77" s="18"/>
      <c r="S77" s="3"/>
      <c r="T77" s="3">
        <v>0</v>
      </c>
      <c r="U77" s="3">
        <v>-1</v>
      </c>
      <c r="V77" s="3">
        <v>1742607.38</v>
      </c>
      <c r="W77" s="22"/>
      <c r="Z77" s="27">
        <f t="shared" si="1"/>
        <v>4</v>
      </c>
    </row>
    <row r="78" spans="1:26" ht="34" customHeight="1">
      <c r="A78" s="3" t="s">
        <v>216</v>
      </c>
      <c r="B78" s="3" t="s">
        <v>217</v>
      </c>
      <c r="C78" s="3" t="s">
        <v>218</v>
      </c>
      <c r="D78" s="3" t="s">
        <v>22</v>
      </c>
      <c r="E78" s="3" t="s">
        <v>23</v>
      </c>
      <c r="F78" s="25"/>
      <c r="G78" s="3">
        <v>2</v>
      </c>
      <c r="H78" s="3">
        <v>3</v>
      </c>
      <c r="I78" s="3">
        <v>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18"/>
      <c r="Q78" s="18"/>
      <c r="R78" s="18"/>
      <c r="S78" s="3">
        <v>4</v>
      </c>
      <c r="T78" s="3">
        <v>0</v>
      </c>
      <c r="U78" s="3">
        <v>-3</v>
      </c>
      <c r="V78" s="3">
        <v>424432.23726765276</v>
      </c>
      <c r="W78" s="22"/>
      <c r="Z78" s="27">
        <f t="shared" si="1"/>
        <v>1.5</v>
      </c>
    </row>
    <row r="79" spans="1:26" ht="20" customHeight="1">
      <c r="A79" s="3" t="s">
        <v>219</v>
      </c>
      <c r="B79" s="3" t="s">
        <v>220</v>
      </c>
      <c r="C79" s="3" t="s">
        <v>221</v>
      </c>
      <c r="D79" s="3" t="s">
        <v>22</v>
      </c>
      <c r="E79" s="3" t="s">
        <v>23</v>
      </c>
      <c r="F79" s="25"/>
      <c r="G79" s="3">
        <v>1</v>
      </c>
      <c r="H79" s="3">
        <v>5</v>
      </c>
      <c r="I79" s="3">
        <v>0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2</v>
      </c>
      <c r="P79" s="18"/>
      <c r="Q79" s="18"/>
      <c r="R79" s="18"/>
      <c r="S79" s="3"/>
      <c r="T79" s="3">
        <v>0</v>
      </c>
      <c r="U79" s="3">
        <v>-3</v>
      </c>
      <c r="V79" s="3">
        <v>157947.57</v>
      </c>
      <c r="W79" s="22"/>
      <c r="Z79" s="27">
        <f t="shared" si="1"/>
        <v>3</v>
      </c>
    </row>
    <row r="80" spans="1:26" ht="23" customHeight="1">
      <c r="A80" s="3" t="s">
        <v>222</v>
      </c>
      <c r="B80" s="3" t="s">
        <v>223</v>
      </c>
      <c r="C80" s="3" t="s">
        <v>224</v>
      </c>
      <c r="D80" s="3" t="s">
        <v>22</v>
      </c>
      <c r="E80" s="3" t="s">
        <v>23</v>
      </c>
      <c r="F80" s="25"/>
      <c r="G80" s="3">
        <v>3</v>
      </c>
      <c r="H80" s="3">
        <v>9</v>
      </c>
      <c r="I80" s="3">
        <v>0</v>
      </c>
      <c r="J80" s="3">
        <v>3</v>
      </c>
      <c r="K80" s="3">
        <v>0</v>
      </c>
      <c r="L80" s="3">
        <v>0</v>
      </c>
      <c r="M80" s="3">
        <v>1</v>
      </c>
      <c r="N80" s="3">
        <v>0</v>
      </c>
      <c r="O80" s="3">
        <v>6</v>
      </c>
      <c r="P80" s="18"/>
      <c r="Q80" s="18"/>
      <c r="R80" s="18"/>
      <c r="S80" s="3"/>
      <c r="T80" s="3">
        <v>-1</v>
      </c>
      <c r="U80" s="3">
        <v>-17</v>
      </c>
      <c r="V80" s="3">
        <v>220120.9419075</v>
      </c>
      <c r="W80" s="22"/>
      <c r="Z80" s="27">
        <f t="shared" si="1"/>
        <v>1</v>
      </c>
    </row>
    <row r="81" spans="1:27" ht="20" customHeight="1">
      <c r="A81" s="3" t="s">
        <v>225</v>
      </c>
      <c r="B81" s="3" t="s">
        <v>226</v>
      </c>
      <c r="C81" s="3" t="s">
        <v>227</v>
      </c>
      <c r="D81" s="3" t="s">
        <v>22</v>
      </c>
      <c r="E81" s="3" t="s">
        <v>23</v>
      </c>
      <c r="F81" s="25"/>
      <c r="G81" s="3">
        <v>3</v>
      </c>
      <c r="H81" s="3">
        <v>7</v>
      </c>
      <c r="I81" s="3">
        <v>0</v>
      </c>
      <c r="J81" s="3">
        <v>6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18"/>
      <c r="Q81" s="18"/>
      <c r="R81" s="18"/>
      <c r="S81" s="3"/>
      <c r="T81" s="3">
        <v>-1</v>
      </c>
      <c r="U81" s="3">
        <v>-5</v>
      </c>
      <c r="V81" s="3">
        <v>104513.95</v>
      </c>
      <c r="W81" s="22"/>
      <c r="Z81" s="27">
        <f t="shared" si="1"/>
        <v>2</v>
      </c>
    </row>
    <row r="82" spans="1:27" ht="23" customHeight="1">
      <c r="A82" s="3" t="s">
        <v>219</v>
      </c>
      <c r="B82" s="3" t="s">
        <v>228</v>
      </c>
      <c r="C82" s="3" t="s">
        <v>229</v>
      </c>
      <c r="D82" s="3" t="s">
        <v>22</v>
      </c>
      <c r="E82" s="3" t="s">
        <v>23</v>
      </c>
      <c r="F82" s="25"/>
      <c r="G82" s="3">
        <v>3</v>
      </c>
      <c r="H82" s="3">
        <v>9</v>
      </c>
      <c r="I82" s="3">
        <v>0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2</v>
      </c>
      <c r="P82" s="18"/>
      <c r="Q82" s="18"/>
      <c r="R82" s="18"/>
      <c r="S82" s="3"/>
      <c r="T82" s="3">
        <v>-1</v>
      </c>
      <c r="U82" s="3">
        <v>-11</v>
      </c>
      <c r="V82" s="3">
        <v>489275.50124999997</v>
      </c>
      <c r="W82" s="22"/>
      <c r="Z82" s="27">
        <f t="shared" si="1"/>
        <v>2.3333333333333335</v>
      </c>
    </row>
    <row r="83" spans="1:27" ht="23" customHeight="1">
      <c r="A83" s="3" t="s">
        <v>230</v>
      </c>
      <c r="B83" s="3" t="s">
        <v>231</v>
      </c>
      <c r="C83" s="3" t="s">
        <v>232</v>
      </c>
      <c r="D83" s="3" t="s">
        <v>22</v>
      </c>
      <c r="E83" s="3" t="s">
        <v>23</v>
      </c>
      <c r="F83" s="25"/>
      <c r="G83" s="3">
        <v>1</v>
      </c>
      <c r="H83" s="3">
        <v>5</v>
      </c>
      <c r="I83" s="3">
        <v>0</v>
      </c>
      <c r="J83" s="3">
        <v>1</v>
      </c>
      <c r="K83" s="3">
        <v>1</v>
      </c>
      <c r="L83" s="3">
        <v>0</v>
      </c>
      <c r="M83" s="3">
        <v>0</v>
      </c>
      <c r="N83" s="3">
        <v>1</v>
      </c>
      <c r="O83" s="3">
        <v>2</v>
      </c>
      <c r="P83" s="18"/>
      <c r="Q83" s="18"/>
      <c r="R83" s="18"/>
      <c r="S83" s="3"/>
      <c r="T83" s="3">
        <v>-1</v>
      </c>
      <c r="U83" s="3">
        <v>-5</v>
      </c>
      <c r="V83" s="3"/>
      <c r="W83" s="22"/>
      <c r="Z83" s="27">
        <f t="shared" si="1"/>
        <v>1</v>
      </c>
    </row>
    <row r="84" spans="1:27" ht="23" customHeight="1">
      <c r="A84" s="3" t="s">
        <v>85</v>
      </c>
      <c r="B84" s="3" t="s">
        <v>233</v>
      </c>
      <c r="C84" s="3" t="s">
        <v>234</v>
      </c>
      <c r="D84" s="3" t="s">
        <v>22</v>
      </c>
      <c r="E84" s="3" t="s">
        <v>23</v>
      </c>
      <c r="F84" s="25"/>
      <c r="G84" s="3">
        <v>2</v>
      </c>
      <c r="H84" s="3">
        <v>4</v>
      </c>
      <c r="I84" s="3">
        <v>0</v>
      </c>
      <c r="J84" s="3">
        <v>4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18"/>
      <c r="Q84" s="18"/>
      <c r="R84" s="18"/>
      <c r="S84" s="3"/>
      <c r="T84" s="3">
        <v>0</v>
      </c>
      <c r="U84" s="3">
        <v>-2</v>
      </c>
      <c r="V84" s="3"/>
      <c r="W84" s="22"/>
      <c r="Z84" s="27">
        <f t="shared" si="1"/>
        <v>2</v>
      </c>
    </row>
    <row r="85" spans="1:27" ht="20" customHeight="1">
      <c r="A85" s="3" t="s">
        <v>85</v>
      </c>
      <c r="B85" s="3" t="s">
        <v>235</v>
      </c>
      <c r="C85" s="3" t="s">
        <v>221</v>
      </c>
      <c r="D85" s="3" t="s">
        <v>22</v>
      </c>
      <c r="E85" s="3" t="s">
        <v>23</v>
      </c>
      <c r="F85" s="25"/>
      <c r="G85" s="3">
        <v>1</v>
      </c>
      <c r="H85" s="3">
        <v>2</v>
      </c>
      <c r="I85" s="3">
        <v>0</v>
      </c>
      <c r="J85" s="3">
        <v>2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18"/>
      <c r="Q85" s="18"/>
      <c r="R85" s="18"/>
      <c r="S85" s="3"/>
      <c r="T85" s="3"/>
      <c r="U85" s="3"/>
      <c r="V85" s="3">
        <v>102894.26</v>
      </c>
      <c r="W85" s="22"/>
      <c r="Z85" s="27">
        <f t="shared" si="1"/>
        <v>2</v>
      </c>
    </row>
    <row r="86" spans="1:27" ht="20" customHeight="1">
      <c r="A86" s="3" t="s">
        <v>85</v>
      </c>
      <c r="B86" s="3" t="s">
        <v>236</v>
      </c>
      <c r="C86" s="3" t="s">
        <v>237</v>
      </c>
      <c r="D86" s="3" t="s">
        <v>22</v>
      </c>
      <c r="E86" s="3" t="s">
        <v>23</v>
      </c>
      <c r="F86" s="25"/>
      <c r="G86" s="3">
        <v>1</v>
      </c>
      <c r="H86" s="3">
        <v>2</v>
      </c>
      <c r="I86" s="3">
        <v>0</v>
      </c>
      <c r="J86" s="3">
        <v>2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18"/>
      <c r="Q86" s="18"/>
      <c r="R86" s="18"/>
      <c r="S86" s="3"/>
      <c r="T86" s="3"/>
      <c r="U86" s="3"/>
      <c r="V86" s="3"/>
      <c r="W86" s="22"/>
      <c r="Z86" s="27">
        <f t="shared" si="1"/>
        <v>2</v>
      </c>
    </row>
    <row r="87" spans="1:27" ht="23" customHeight="1">
      <c r="A87" s="3" t="s">
        <v>85</v>
      </c>
      <c r="B87" s="3" t="s">
        <v>238</v>
      </c>
      <c r="C87" s="3" t="s">
        <v>239</v>
      </c>
      <c r="D87" s="3" t="s">
        <v>22</v>
      </c>
      <c r="E87" s="3" t="s">
        <v>23</v>
      </c>
      <c r="F87" s="25"/>
      <c r="G87" s="3">
        <v>2</v>
      </c>
      <c r="H87" s="3">
        <v>3</v>
      </c>
      <c r="I87" s="3">
        <v>0</v>
      </c>
      <c r="J87" s="3">
        <v>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18"/>
      <c r="Q87" s="18"/>
      <c r="R87" s="18"/>
      <c r="S87" s="3"/>
      <c r="T87" s="3">
        <v>0</v>
      </c>
      <c r="U87" s="3">
        <v>-20</v>
      </c>
      <c r="V87" s="3">
        <v>469212.91999999993</v>
      </c>
      <c r="W87" s="22"/>
      <c r="Z87" s="27">
        <f t="shared" si="1"/>
        <v>1.5</v>
      </c>
    </row>
    <row r="88" spans="1:27" ht="20" customHeight="1">
      <c r="A88" s="3" t="s">
        <v>85</v>
      </c>
      <c r="B88" s="3" t="s">
        <v>240</v>
      </c>
      <c r="C88" s="3" t="s">
        <v>239</v>
      </c>
      <c r="D88" s="3" t="s">
        <v>22</v>
      </c>
      <c r="E88" s="3" t="s">
        <v>23</v>
      </c>
      <c r="F88" s="25"/>
      <c r="G88" s="3">
        <v>3</v>
      </c>
      <c r="H88" s="3">
        <v>8</v>
      </c>
      <c r="I88" s="3">
        <v>0</v>
      </c>
      <c r="J88" s="3">
        <v>5</v>
      </c>
      <c r="K88" s="3">
        <v>0</v>
      </c>
      <c r="L88" s="3">
        <v>0</v>
      </c>
      <c r="M88" s="3">
        <v>0</v>
      </c>
      <c r="N88" s="3">
        <v>0</v>
      </c>
      <c r="O88" s="3">
        <v>3</v>
      </c>
      <c r="P88" s="18"/>
      <c r="Q88" s="18"/>
      <c r="R88" s="18"/>
      <c r="S88" s="3"/>
      <c r="T88" s="3">
        <v>-4</v>
      </c>
      <c r="U88" s="3">
        <v>-41</v>
      </c>
      <c r="V88" s="3"/>
      <c r="W88" s="22"/>
      <c r="Z88" s="27">
        <f t="shared" si="1"/>
        <v>1.6666666666666667</v>
      </c>
    </row>
    <row r="89" spans="1:27" ht="23" customHeight="1">
      <c r="A89" s="3" t="s">
        <v>85</v>
      </c>
      <c r="B89" s="3" t="s">
        <v>241</v>
      </c>
      <c r="C89" s="3" t="s">
        <v>242</v>
      </c>
      <c r="D89" s="3" t="s">
        <v>22</v>
      </c>
      <c r="E89" s="3" t="s">
        <v>23</v>
      </c>
      <c r="F89" s="25"/>
      <c r="G89" s="3">
        <v>1</v>
      </c>
      <c r="H89" s="3">
        <v>3</v>
      </c>
      <c r="I89" s="3">
        <v>0</v>
      </c>
      <c r="J89" s="3">
        <v>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18"/>
      <c r="Q89" s="18"/>
      <c r="R89" s="18"/>
      <c r="S89" s="3"/>
      <c r="T89" s="3">
        <v>0</v>
      </c>
      <c r="U89" s="3">
        <v>-1</v>
      </c>
      <c r="V89" s="3">
        <v>0</v>
      </c>
      <c r="W89" s="22"/>
      <c r="Z89" s="27">
        <f t="shared" si="1"/>
        <v>3</v>
      </c>
    </row>
    <row r="90" spans="1:27" ht="23" customHeight="1">
      <c r="A90" s="3" t="s">
        <v>85</v>
      </c>
      <c r="B90" s="3" t="s">
        <v>243</v>
      </c>
      <c r="C90" s="3" t="s">
        <v>244</v>
      </c>
      <c r="D90" s="3" t="s">
        <v>22</v>
      </c>
      <c r="E90" s="3" t="s">
        <v>23</v>
      </c>
      <c r="F90" s="25"/>
      <c r="G90" s="3">
        <v>2</v>
      </c>
      <c r="H90" s="3">
        <v>14</v>
      </c>
      <c r="I90" s="3">
        <v>0</v>
      </c>
      <c r="J90" s="3">
        <v>14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18"/>
      <c r="Q90" s="18"/>
      <c r="R90" s="18"/>
      <c r="S90" s="3"/>
      <c r="T90" s="3">
        <v>0</v>
      </c>
      <c r="U90" s="3">
        <v>-2</v>
      </c>
      <c r="V90" s="3">
        <v>94879.562857142853</v>
      </c>
      <c r="W90" s="22"/>
      <c r="Z90" s="27">
        <f t="shared" si="1"/>
        <v>7</v>
      </c>
    </row>
    <row r="91" spans="1:27" ht="23" customHeight="1">
      <c r="A91" s="3" t="s">
        <v>245</v>
      </c>
      <c r="B91" s="3" t="s">
        <v>246</v>
      </c>
      <c r="C91" s="3" t="s">
        <v>247</v>
      </c>
      <c r="D91" s="3" t="s">
        <v>22</v>
      </c>
      <c r="E91" s="3" t="s">
        <v>145</v>
      </c>
      <c r="F91" s="25"/>
      <c r="G91" s="3">
        <v>4</v>
      </c>
      <c r="H91" s="3">
        <v>32</v>
      </c>
      <c r="I91" s="3">
        <v>0</v>
      </c>
      <c r="J91" s="3">
        <v>18</v>
      </c>
      <c r="K91" s="3">
        <v>0</v>
      </c>
      <c r="L91" s="3">
        <v>0</v>
      </c>
      <c r="M91" s="3">
        <v>0</v>
      </c>
      <c r="N91" s="3">
        <v>0</v>
      </c>
      <c r="O91" s="3">
        <v>14</v>
      </c>
      <c r="P91" s="18"/>
      <c r="Q91" s="18"/>
      <c r="R91" s="18"/>
      <c r="S91" s="3">
        <v>3</v>
      </c>
      <c r="T91" s="3">
        <v>-2</v>
      </c>
      <c r="U91" s="3">
        <v>-27</v>
      </c>
      <c r="V91" s="3">
        <v>2245746.4673891654</v>
      </c>
      <c r="W91" s="22"/>
      <c r="Z91" s="27">
        <f t="shared" si="1"/>
        <v>4.5</v>
      </c>
    </row>
    <row r="92" spans="1:27" ht="23" customHeight="1">
      <c r="A92" s="3" t="s">
        <v>85</v>
      </c>
      <c r="B92" s="3" t="s">
        <v>248</v>
      </c>
      <c r="C92" s="3" t="s">
        <v>249</v>
      </c>
      <c r="D92" s="3" t="s">
        <v>30</v>
      </c>
      <c r="E92" s="3" t="s">
        <v>23</v>
      </c>
      <c r="F92" s="25"/>
      <c r="G92" s="3">
        <v>1</v>
      </c>
      <c r="H92" s="3">
        <v>3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2</v>
      </c>
      <c r="P92" s="18"/>
      <c r="Q92" s="18"/>
      <c r="R92" s="18"/>
      <c r="S92" s="3">
        <v>1</v>
      </c>
      <c r="T92" s="3">
        <v>0</v>
      </c>
      <c r="U92" s="3">
        <v>-2</v>
      </c>
      <c r="V92" s="3">
        <v>303447.00977777783</v>
      </c>
      <c r="W92" s="22"/>
      <c r="Z92" s="27">
        <f t="shared" si="1"/>
        <v>1</v>
      </c>
      <c r="AA92" s="19">
        <v>1</v>
      </c>
    </row>
    <row r="93" spans="1:27" ht="23" customHeight="1">
      <c r="A93" s="3" t="s">
        <v>85</v>
      </c>
      <c r="B93" s="3" t="s">
        <v>250</v>
      </c>
      <c r="C93" s="3" t="s">
        <v>251</v>
      </c>
      <c r="D93" s="3" t="s">
        <v>22</v>
      </c>
      <c r="E93" s="3" t="s">
        <v>23</v>
      </c>
      <c r="F93" s="25"/>
      <c r="G93" s="3">
        <v>4</v>
      </c>
      <c r="H93" s="3">
        <v>15</v>
      </c>
      <c r="I93" s="3">
        <v>0</v>
      </c>
      <c r="J93" s="3">
        <v>12</v>
      </c>
      <c r="K93" s="3">
        <v>0</v>
      </c>
      <c r="L93" s="3">
        <v>0</v>
      </c>
      <c r="M93" s="3">
        <v>0</v>
      </c>
      <c r="N93" s="3">
        <v>0</v>
      </c>
      <c r="O93" s="3">
        <v>3</v>
      </c>
      <c r="P93" s="18"/>
      <c r="Q93" s="18"/>
      <c r="R93" s="18"/>
      <c r="S93" s="3">
        <v>2</v>
      </c>
      <c r="T93" s="3">
        <v>-1</v>
      </c>
      <c r="U93" s="3">
        <v>-11</v>
      </c>
      <c r="V93" s="3">
        <v>642490.16163938632</v>
      </c>
      <c r="W93" s="22"/>
      <c r="Z93" s="27">
        <f t="shared" si="1"/>
        <v>3</v>
      </c>
    </row>
    <row r="94" spans="1:27" ht="23" customHeight="1">
      <c r="A94" s="3" t="s">
        <v>85</v>
      </c>
      <c r="B94" s="3" t="s">
        <v>252</v>
      </c>
      <c r="C94" s="3" t="s">
        <v>253</v>
      </c>
      <c r="D94" s="3" t="s">
        <v>22</v>
      </c>
      <c r="E94" s="3" t="s">
        <v>23</v>
      </c>
      <c r="F94" s="25"/>
      <c r="G94" s="3">
        <v>2</v>
      </c>
      <c r="H94" s="3">
        <v>4</v>
      </c>
      <c r="I94" s="3">
        <v>0</v>
      </c>
      <c r="J94" s="3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18"/>
      <c r="Q94" s="18"/>
      <c r="R94" s="18"/>
      <c r="S94" s="3"/>
      <c r="T94" s="3"/>
      <c r="U94" s="3"/>
      <c r="V94" s="3">
        <v>759483.25629629625</v>
      </c>
      <c r="W94" s="22"/>
      <c r="Z94" s="27">
        <f t="shared" si="1"/>
        <v>2</v>
      </c>
    </row>
    <row r="95" spans="1:27" ht="23" customHeight="1">
      <c r="A95" s="3" t="s">
        <v>254</v>
      </c>
      <c r="B95" s="3" t="s">
        <v>255</v>
      </c>
      <c r="C95" s="3" t="s">
        <v>256</v>
      </c>
      <c r="D95" s="3" t="s">
        <v>22</v>
      </c>
      <c r="E95" s="3" t="s">
        <v>23</v>
      </c>
      <c r="F95" s="25"/>
      <c r="G95" s="3">
        <v>2</v>
      </c>
      <c r="H95" s="3">
        <v>3</v>
      </c>
      <c r="I95" s="3">
        <v>0</v>
      </c>
      <c r="J95" s="3">
        <v>2</v>
      </c>
      <c r="K95" s="3">
        <v>0</v>
      </c>
      <c r="L95" s="3">
        <v>0</v>
      </c>
      <c r="M95" s="3">
        <v>0</v>
      </c>
      <c r="N95" s="3">
        <v>0</v>
      </c>
      <c r="O95" s="3">
        <v>1</v>
      </c>
      <c r="P95" s="18"/>
      <c r="Q95" s="18"/>
      <c r="R95" s="18"/>
      <c r="S95" s="3"/>
      <c r="T95" s="3">
        <v>0</v>
      </c>
      <c r="U95" s="3">
        <v>-1</v>
      </c>
      <c r="V95" s="3">
        <v>3859376.1442499999</v>
      </c>
      <c r="W95" s="22"/>
      <c r="Z95" s="27">
        <f t="shared" si="1"/>
        <v>1</v>
      </c>
    </row>
    <row r="96" spans="1:27" ht="23" customHeight="1">
      <c r="A96" s="3" t="s">
        <v>257</v>
      </c>
      <c r="B96" s="3" t="s">
        <v>258</v>
      </c>
      <c r="C96" s="3" t="s">
        <v>259</v>
      </c>
      <c r="D96" s="3" t="s">
        <v>22</v>
      </c>
      <c r="E96" s="3" t="s">
        <v>23</v>
      </c>
      <c r="F96" s="25"/>
      <c r="G96" s="3">
        <v>3</v>
      </c>
      <c r="H96" s="3">
        <v>12</v>
      </c>
      <c r="I96" s="3">
        <v>0</v>
      </c>
      <c r="J96" s="3">
        <v>8</v>
      </c>
      <c r="K96" s="3">
        <v>0</v>
      </c>
      <c r="L96" s="3">
        <v>0</v>
      </c>
      <c r="M96" s="3">
        <v>0</v>
      </c>
      <c r="N96" s="3">
        <v>4</v>
      </c>
      <c r="O96" s="3">
        <v>0</v>
      </c>
      <c r="P96" s="18"/>
      <c r="Q96" s="18"/>
      <c r="R96" s="18"/>
      <c r="S96" s="3"/>
      <c r="T96" s="3"/>
      <c r="U96" s="3"/>
      <c r="V96" s="3">
        <v>194107.25428571433</v>
      </c>
      <c r="W96" s="22"/>
      <c r="Z96" s="27">
        <f t="shared" si="1"/>
        <v>2.6666666666666665</v>
      </c>
    </row>
    <row r="97" spans="1:26" ht="23" customHeight="1">
      <c r="A97" s="3" t="s">
        <v>257</v>
      </c>
      <c r="B97" s="3" t="s">
        <v>260</v>
      </c>
      <c r="C97" s="3" t="s">
        <v>259</v>
      </c>
      <c r="D97" s="3" t="s">
        <v>22</v>
      </c>
      <c r="E97" s="3" t="s">
        <v>23</v>
      </c>
      <c r="F97" s="25"/>
      <c r="G97" s="3">
        <v>3</v>
      </c>
      <c r="H97" s="3">
        <v>14</v>
      </c>
      <c r="I97" s="3">
        <v>0</v>
      </c>
      <c r="J97" s="3">
        <v>14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18"/>
      <c r="Q97" s="18"/>
      <c r="R97" s="18"/>
      <c r="S97" s="3"/>
      <c r="T97" s="3">
        <v>0</v>
      </c>
      <c r="U97" s="3">
        <v>-2</v>
      </c>
      <c r="V97" s="3"/>
      <c r="W97" s="22"/>
      <c r="Z97" s="27">
        <f t="shared" si="1"/>
        <v>4.666666666666667</v>
      </c>
    </row>
    <row r="98" spans="1:26" ht="23" customHeight="1">
      <c r="A98" s="3" t="s">
        <v>257</v>
      </c>
      <c r="B98" s="3" t="s">
        <v>261</v>
      </c>
      <c r="C98" s="3" t="s">
        <v>259</v>
      </c>
      <c r="D98" s="3" t="s">
        <v>22</v>
      </c>
      <c r="E98" s="3" t="s">
        <v>23</v>
      </c>
      <c r="F98" s="25"/>
      <c r="G98" s="3">
        <v>2</v>
      </c>
      <c r="H98" s="3">
        <v>2</v>
      </c>
      <c r="I98" s="3">
        <v>0</v>
      </c>
      <c r="J98" s="3">
        <v>2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18"/>
      <c r="Q98" s="18"/>
      <c r="R98" s="18"/>
      <c r="S98" s="3">
        <v>1</v>
      </c>
      <c r="T98" s="3"/>
      <c r="U98" s="3"/>
      <c r="V98" s="3">
        <v>315532.30800000002</v>
      </c>
      <c r="W98" s="22"/>
      <c r="Z98" s="27">
        <f t="shared" si="1"/>
        <v>1</v>
      </c>
    </row>
    <row r="99" spans="1:26" ht="23" customHeight="1">
      <c r="A99" s="3" t="s">
        <v>257</v>
      </c>
      <c r="B99" s="3" t="s">
        <v>262</v>
      </c>
      <c r="C99" s="3" t="s">
        <v>259</v>
      </c>
      <c r="D99" s="3" t="s">
        <v>22</v>
      </c>
      <c r="E99" s="3" t="s">
        <v>23</v>
      </c>
      <c r="F99" s="25"/>
      <c r="G99" s="3">
        <v>3</v>
      </c>
      <c r="H99" s="3">
        <v>8</v>
      </c>
      <c r="I99" s="3">
        <v>0</v>
      </c>
      <c r="J99" s="3">
        <v>6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18"/>
      <c r="Q99" s="18"/>
      <c r="R99" s="18"/>
      <c r="S99" s="3"/>
      <c r="T99" s="3"/>
      <c r="U99" s="3"/>
      <c r="V99" s="3">
        <v>315757.74308125</v>
      </c>
      <c r="W99" s="22"/>
      <c r="Z99" s="27">
        <f t="shared" si="1"/>
        <v>2</v>
      </c>
    </row>
    <row r="100" spans="1:26" ht="23" customHeight="1">
      <c r="A100" s="3" t="s">
        <v>257</v>
      </c>
      <c r="B100" s="3" t="s">
        <v>263</v>
      </c>
      <c r="C100" s="3" t="s">
        <v>259</v>
      </c>
      <c r="D100" s="3" t="s">
        <v>22</v>
      </c>
      <c r="E100" s="3" t="s">
        <v>23</v>
      </c>
      <c r="F100" s="25"/>
      <c r="G100" s="3">
        <v>3</v>
      </c>
      <c r="H100" s="3">
        <v>14</v>
      </c>
      <c r="I100" s="3">
        <v>0</v>
      </c>
      <c r="J100" s="3">
        <v>13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18"/>
      <c r="Q100" s="18"/>
      <c r="R100" s="18"/>
      <c r="S100" s="3"/>
      <c r="T100" s="3">
        <v>0</v>
      </c>
      <c r="U100" s="3">
        <v>-1</v>
      </c>
      <c r="V100" s="3"/>
      <c r="W100" s="22"/>
      <c r="Z100" s="27">
        <f t="shared" si="1"/>
        <v>4.333333333333333</v>
      </c>
    </row>
    <row r="101" spans="1:26" ht="23" customHeight="1">
      <c r="A101" s="3" t="s">
        <v>257</v>
      </c>
      <c r="B101" s="3" t="s">
        <v>264</v>
      </c>
      <c r="C101" s="3" t="s">
        <v>259</v>
      </c>
      <c r="D101" s="3" t="s">
        <v>22</v>
      </c>
      <c r="E101" s="3" t="s">
        <v>23</v>
      </c>
      <c r="F101" s="25"/>
      <c r="G101" s="3">
        <v>2</v>
      </c>
      <c r="H101" s="3">
        <v>2</v>
      </c>
      <c r="I101" s="3">
        <v>0</v>
      </c>
      <c r="J101" s="3">
        <v>2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18"/>
      <c r="Q101" s="18"/>
      <c r="R101" s="18"/>
      <c r="S101" s="3"/>
      <c r="T101" s="3"/>
      <c r="U101" s="3"/>
      <c r="V101" s="3">
        <v>344923.40399999998</v>
      </c>
      <c r="W101" s="22"/>
      <c r="Z101" s="27">
        <f t="shared" si="1"/>
        <v>1</v>
      </c>
    </row>
    <row r="102" spans="1:26" ht="23" customHeight="1">
      <c r="A102" s="3" t="s">
        <v>265</v>
      </c>
      <c r="B102" s="3" t="s">
        <v>266</v>
      </c>
      <c r="C102" s="3" t="s">
        <v>267</v>
      </c>
      <c r="D102" s="3" t="s">
        <v>22</v>
      </c>
      <c r="E102" s="3" t="s">
        <v>23</v>
      </c>
      <c r="F102" s="25"/>
      <c r="G102" s="3">
        <v>3</v>
      </c>
      <c r="H102" s="3">
        <v>12</v>
      </c>
      <c r="I102" s="3">
        <v>0</v>
      </c>
      <c r="J102" s="3">
        <v>9</v>
      </c>
      <c r="K102" s="3">
        <v>0</v>
      </c>
      <c r="L102" s="3">
        <v>0</v>
      </c>
      <c r="M102" s="3">
        <v>0</v>
      </c>
      <c r="N102" s="3">
        <v>0</v>
      </c>
      <c r="O102" s="3">
        <v>3</v>
      </c>
      <c r="P102" s="18"/>
      <c r="Q102" s="18"/>
      <c r="R102" s="18"/>
      <c r="S102" s="3"/>
      <c r="T102" s="3">
        <v>-1</v>
      </c>
      <c r="U102" s="3">
        <v>-3</v>
      </c>
      <c r="V102" s="3">
        <v>853072.78106060612</v>
      </c>
      <c r="W102" s="22"/>
      <c r="Z102" s="27">
        <f t="shared" si="1"/>
        <v>3</v>
      </c>
    </row>
    <row r="103" spans="1:26" ht="20" customHeight="1">
      <c r="A103" s="3" t="s">
        <v>245</v>
      </c>
      <c r="B103" s="3" t="s">
        <v>268</v>
      </c>
      <c r="C103" s="3" t="s">
        <v>269</v>
      </c>
      <c r="D103" s="3" t="s">
        <v>22</v>
      </c>
      <c r="E103" s="3" t="s">
        <v>145</v>
      </c>
      <c r="F103" s="25"/>
      <c r="G103" s="3">
        <v>10</v>
      </c>
      <c r="H103" s="3">
        <v>18</v>
      </c>
      <c r="I103" s="3">
        <v>0</v>
      </c>
      <c r="J103" s="3">
        <v>16</v>
      </c>
      <c r="K103" s="3">
        <v>0</v>
      </c>
      <c r="L103" s="3">
        <v>0</v>
      </c>
      <c r="M103" s="3">
        <v>0</v>
      </c>
      <c r="N103" s="3">
        <v>0</v>
      </c>
      <c r="O103" s="3">
        <v>2</v>
      </c>
      <c r="P103" s="18"/>
      <c r="Q103" s="18"/>
      <c r="R103" s="18"/>
      <c r="S103" s="3"/>
      <c r="T103" s="3">
        <v>0</v>
      </c>
      <c r="U103" s="3">
        <v>-6</v>
      </c>
      <c r="V103" s="3"/>
      <c r="W103" s="22"/>
      <c r="Z103" s="27">
        <f t="shared" si="1"/>
        <v>1.6</v>
      </c>
    </row>
    <row r="104" spans="1:26" ht="23" customHeight="1">
      <c r="A104" s="3" t="s">
        <v>85</v>
      </c>
      <c r="B104" s="3" t="s">
        <v>270</v>
      </c>
      <c r="C104" s="3" t="s">
        <v>269</v>
      </c>
      <c r="D104" s="3" t="s">
        <v>22</v>
      </c>
      <c r="E104" s="3" t="s">
        <v>145</v>
      </c>
      <c r="F104" s="25"/>
      <c r="G104" s="3">
        <v>2</v>
      </c>
      <c r="H104" s="3">
        <v>8</v>
      </c>
      <c r="I104" s="3">
        <v>0</v>
      </c>
      <c r="J104" s="3">
        <v>6</v>
      </c>
      <c r="K104" s="3">
        <v>0</v>
      </c>
      <c r="L104" s="3">
        <v>0</v>
      </c>
      <c r="M104" s="3">
        <v>0</v>
      </c>
      <c r="N104" s="3">
        <v>0</v>
      </c>
      <c r="O104" s="3">
        <v>2</v>
      </c>
      <c r="P104" s="18"/>
      <c r="Q104" s="18"/>
      <c r="R104" s="18"/>
      <c r="S104" s="3"/>
      <c r="T104" s="3">
        <v>-2</v>
      </c>
      <c r="U104" s="3">
        <v>-10</v>
      </c>
      <c r="V104" s="3">
        <v>381170.45023999992</v>
      </c>
      <c r="W104" s="22"/>
      <c r="Z104" s="27">
        <f t="shared" si="1"/>
        <v>3</v>
      </c>
    </row>
    <row r="105" spans="1:26" ht="23" customHeight="1">
      <c r="A105" s="3" t="s">
        <v>271</v>
      </c>
      <c r="B105" s="3" t="s">
        <v>272</v>
      </c>
      <c r="C105" s="3" t="s">
        <v>273</v>
      </c>
      <c r="D105" s="3" t="s">
        <v>22</v>
      </c>
      <c r="E105" s="3" t="s">
        <v>23</v>
      </c>
      <c r="F105" s="25"/>
      <c r="G105" s="3">
        <v>2</v>
      </c>
      <c r="H105" s="3">
        <v>2</v>
      </c>
      <c r="I105" s="3">
        <v>0</v>
      </c>
      <c r="J105" s="3">
        <v>2</v>
      </c>
      <c r="K105" s="3">
        <v>0</v>
      </c>
      <c r="L105" s="3">
        <v>0</v>
      </c>
      <c r="M105" s="3">
        <v>1</v>
      </c>
      <c r="N105" s="3">
        <v>0</v>
      </c>
      <c r="O105" s="3">
        <v>0</v>
      </c>
      <c r="P105" s="18"/>
      <c r="Q105" s="18"/>
      <c r="R105" s="18"/>
      <c r="S105" s="3"/>
      <c r="T105" s="3">
        <v>-1</v>
      </c>
      <c r="U105" s="3">
        <v>-3</v>
      </c>
      <c r="V105" s="3">
        <v>4070396.4158999999</v>
      </c>
      <c r="W105" s="22"/>
      <c r="Z105" s="27">
        <f t="shared" si="1"/>
        <v>1</v>
      </c>
    </row>
    <row r="106" spans="1:26" ht="20" customHeight="1">
      <c r="A106" s="3" t="s">
        <v>274</v>
      </c>
      <c r="B106" s="3" t="s">
        <v>275</v>
      </c>
      <c r="C106" s="3" t="s">
        <v>276</v>
      </c>
      <c r="D106" s="3" t="s">
        <v>30</v>
      </c>
      <c r="E106" s="3" t="s">
        <v>23</v>
      </c>
      <c r="F106" s="25"/>
      <c r="G106" s="3">
        <v>8</v>
      </c>
      <c r="H106" s="3">
        <v>48</v>
      </c>
      <c r="I106" s="3">
        <v>0</v>
      </c>
      <c r="J106" s="3">
        <v>48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18"/>
      <c r="Q106" s="18"/>
      <c r="R106" s="18"/>
      <c r="S106" s="3"/>
      <c r="T106" s="3">
        <v>-6</v>
      </c>
      <c r="U106" s="3">
        <v>-67</v>
      </c>
      <c r="V106" s="3"/>
      <c r="W106" s="22"/>
      <c r="Z106" s="27">
        <f t="shared" si="1"/>
        <v>6</v>
      </c>
    </row>
    <row r="107" spans="1:26" ht="34" customHeight="1">
      <c r="A107" s="3" t="s">
        <v>277</v>
      </c>
      <c r="B107" s="3" t="s">
        <v>278</v>
      </c>
      <c r="C107" s="3" t="s">
        <v>279</v>
      </c>
      <c r="D107" s="3" t="s">
        <v>22</v>
      </c>
      <c r="E107" s="3" t="s">
        <v>23</v>
      </c>
      <c r="F107" s="25"/>
      <c r="G107" s="3">
        <v>2</v>
      </c>
      <c r="H107" s="3">
        <v>5</v>
      </c>
      <c r="I107" s="3">
        <v>0</v>
      </c>
      <c r="J107" s="3">
        <v>5</v>
      </c>
      <c r="K107" s="3">
        <v>0</v>
      </c>
      <c r="L107" s="3">
        <v>0</v>
      </c>
      <c r="M107" s="3">
        <v>1</v>
      </c>
      <c r="N107" s="3">
        <v>0</v>
      </c>
      <c r="O107" s="3">
        <v>0</v>
      </c>
      <c r="P107" s="18"/>
      <c r="Q107" s="18"/>
      <c r="R107" s="18"/>
      <c r="S107" s="3"/>
      <c r="T107" s="3">
        <v>0</v>
      </c>
      <c r="U107" s="3">
        <v>-3</v>
      </c>
      <c r="V107" s="3">
        <v>3164601.72</v>
      </c>
      <c r="W107" s="22"/>
      <c r="Z107" s="27">
        <f t="shared" si="1"/>
        <v>2.5</v>
      </c>
    </row>
    <row r="108" spans="1:26" ht="23" customHeight="1">
      <c r="A108" s="3" t="s">
        <v>280</v>
      </c>
      <c r="B108" s="3" t="s">
        <v>281</v>
      </c>
      <c r="C108" s="3" t="s">
        <v>282</v>
      </c>
      <c r="D108" s="3" t="s">
        <v>22</v>
      </c>
      <c r="E108" s="3" t="s">
        <v>23</v>
      </c>
      <c r="F108" s="25"/>
      <c r="G108" s="3">
        <v>2</v>
      </c>
      <c r="H108" s="3">
        <v>7</v>
      </c>
      <c r="I108" s="3">
        <v>0</v>
      </c>
      <c r="J108" s="3">
        <v>3</v>
      </c>
      <c r="K108" s="3">
        <v>0</v>
      </c>
      <c r="L108" s="3">
        <v>0</v>
      </c>
      <c r="M108" s="3">
        <v>0</v>
      </c>
      <c r="N108" s="3">
        <v>0</v>
      </c>
      <c r="O108" s="3">
        <v>4</v>
      </c>
      <c r="P108" s="18"/>
      <c r="Q108" s="18"/>
      <c r="R108" s="18"/>
      <c r="S108" s="3"/>
      <c r="T108" s="3">
        <v>0</v>
      </c>
      <c r="U108" s="3">
        <v>-12</v>
      </c>
      <c r="V108" s="3"/>
      <c r="W108" s="22"/>
      <c r="Z108" s="27">
        <f t="shared" si="1"/>
        <v>1.5</v>
      </c>
    </row>
    <row r="109" spans="1:26" ht="23" customHeight="1">
      <c r="A109" s="3" t="s">
        <v>280</v>
      </c>
      <c r="B109" s="3" t="s">
        <v>283</v>
      </c>
      <c r="C109" s="3" t="s">
        <v>284</v>
      </c>
      <c r="D109" s="3" t="s">
        <v>22</v>
      </c>
      <c r="E109" s="3" t="s">
        <v>91</v>
      </c>
      <c r="F109" s="25"/>
      <c r="G109" s="3">
        <v>1</v>
      </c>
      <c r="H109" s="3">
        <v>9</v>
      </c>
      <c r="I109" s="3">
        <v>0</v>
      </c>
      <c r="J109" s="3">
        <v>8</v>
      </c>
      <c r="K109" s="3">
        <v>0</v>
      </c>
      <c r="L109" s="3">
        <v>0</v>
      </c>
      <c r="M109" s="3">
        <v>4</v>
      </c>
      <c r="N109" s="3">
        <v>0</v>
      </c>
      <c r="O109" s="3">
        <v>1</v>
      </c>
      <c r="P109" s="18"/>
      <c r="Q109" s="18"/>
      <c r="R109" s="18"/>
      <c r="S109" s="3"/>
      <c r="T109" s="3">
        <v>-1</v>
      </c>
      <c r="U109" s="3">
        <v>-5</v>
      </c>
      <c r="V109" s="3">
        <v>7883894.0999999996</v>
      </c>
      <c r="W109" s="22"/>
      <c r="Z109" s="27">
        <f t="shared" si="1"/>
        <v>8</v>
      </c>
    </row>
    <row r="110" spans="1:26" ht="23" customHeight="1">
      <c r="A110" s="3" t="s">
        <v>127</v>
      </c>
      <c r="B110" s="3" t="s">
        <v>285</v>
      </c>
      <c r="C110" s="3" t="s">
        <v>286</v>
      </c>
      <c r="D110" s="3" t="s">
        <v>22</v>
      </c>
      <c r="E110" s="3" t="s">
        <v>91</v>
      </c>
      <c r="F110" s="25"/>
      <c r="G110" s="3">
        <v>1</v>
      </c>
      <c r="H110" s="3">
        <v>3</v>
      </c>
      <c r="I110" s="3">
        <v>0</v>
      </c>
      <c r="J110" s="3">
        <v>1</v>
      </c>
      <c r="K110" s="3">
        <v>0</v>
      </c>
      <c r="L110" s="3">
        <v>0</v>
      </c>
      <c r="M110" s="3">
        <v>0</v>
      </c>
      <c r="N110" s="3">
        <v>0</v>
      </c>
      <c r="O110" s="3">
        <v>2</v>
      </c>
      <c r="P110" s="18"/>
      <c r="Q110" s="18"/>
      <c r="R110" s="18"/>
      <c r="S110" s="3"/>
      <c r="T110" s="3"/>
      <c r="U110" s="3"/>
      <c r="V110" s="3"/>
      <c r="W110" s="22"/>
      <c r="Z110" s="27">
        <f t="shared" si="1"/>
        <v>1</v>
      </c>
    </row>
    <row r="111" spans="1:26" ht="23" customHeight="1">
      <c r="A111" s="3" t="s">
        <v>287</v>
      </c>
      <c r="B111" s="3" t="s">
        <v>288</v>
      </c>
      <c r="C111" s="3" t="s">
        <v>289</v>
      </c>
      <c r="D111" s="3" t="s">
        <v>22</v>
      </c>
      <c r="E111" s="3" t="s">
        <v>23</v>
      </c>
      <c r="F111" s="25"/>
      <c r="G111" s="3">
        <v>1</v>
      </c>
      <c r="H111" s="3">
        <v>1</v>
      </c>
      <c r="I111" s="3">
        <v>0</v>
      </c>
      <c r="J111" s="3">
        <v>1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18"/>
      <c r="Q111" s="18"/>
      <c r="R111" s="18"/>
      <c r="S111" s="3"/>
      <c r="T111" s="3"/>
      <c r="U111" s="3"/>
      <c r="V111" s="3">
        <v>0</v>
      </c>
      <c r="W111" s="22"/>
      <c r="Z111" s="27">
        <f t="shared" si="1"/>
        <v>1</v>
      </c>
    </row>
    <row r="112" spans="1:26" ht="23" customHeight="1">
      <c r="A112" s="3" t="s">
        <v>290</v>
      </c>
      <c r="B112" s="3" t="s">
        <v>291</v>
      </c>
      <c r="C112" s="3" t="s">
        <v>292</v>
      </c>
      <c r="D112" s="3" t="s">
        <v>22</v>
      </c>
      <c r="E112" s="3" t="s">
        <v>23</v>
      </c>
      <c r="F112" s="25"/>
      <c r="G112" s="3">
        <v>1</v>
      </c>
      <c r="H112" s="3">
        <v>1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18"/>
      <c r="Q112" s="18"/>
      <c r="R112" s="18"/>
      <c r="S112" s="3"/>
      <c r="T112" s="3"/>
      <c r="U112" s="3"/>
      <c r="V112" s="3"/>
      <c r="W112" s="22"/>
      <c r="Z112" s="27">
        <f t="shared" si="1"/>
        <v>1</v>
      </c>
    </row>
    <row r="113" spans="1:26" ht="20" customHeight="1">
      <c r="A113" s="3" t="s">
        <v>293</v>
      </c>
      <c r="B113" s="3" t="s">
        <v>294</v>
      </c>
      <c r="C113" s="3" t="s">
        <v>295</v>
      </c>
      <c r="D113" s="3" t="s">
        <v>22</v>
      </c>
      <c r="E113" s="3" t="s">
        <v>23</v>
      </c>
      <c r="F113" s="25" t="s">
        <v>146</v>
      </c>
      <c r="G113" s="3">
        <v>1</v>
      </c>
      <c r="H113" s="3">
        <v>7</v>
      </c>
      <c r="I113" s="3">
        <v>0</v>
      </c>
      <c r="J113" s="3">
        <v>6</v>
      </c>
      <c r="K113" s="3">
        <v>0</v>
      </c>
      <c r="L113" s="3">
        <v>0</v>
      </c>
      <c r="M113" s="3">
        <v>0</v>
      </c>
      <c r="N113" s="3">
        <v>1</v>
      </c>
      <c r="O113" s="3">
        <v>0</v>
      </c>
      <c r="P113" s="18"/>
      <c r="Q113" s="18"/>
      <c r="R113" s="18"/>
      <c r="S113" s="3"/>
      <c r="T113" s="3">
        <v>0</v>
      </c>
      <c r="U113" s="3">
        <v>-2</v>
      </c>
      <c r="V113" s="3"/>
      <c r="W113" s="22"/>
      <c r="Z113" s="27">
        <f t="shared" si="1"/>
        <v>6</v>
      </c>
    </row>
    <row r="114" spans="1:26" ht="34" customHeight="1">
      <c r="A114" s="3" t="s">
        <v>225</v>
      </c>
      <c r="B114" s="3" t="s">
        <v>296</v>
      </c>
      <c r="C114" s="3" t="s">
        <v>297</v>
      </c>
      <c r="D114" s="3" t="s">
        <v>22</v>
      </c>
      <c r="E114" s="3" t="s">
        <v>23</v>
      </c>
      <c r="F114" s="25"/>
      <c r="G114" s="3">
        <v>2</v>
      </c>
      <c r="H114" s="3">
        <v>1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18"/>
      <c r="Q114" s="18"/>
      <c r="R114" s="18"/>
      <c r="S114" s="3"/>
      <c r="T114" s="3"/>
      <c r="U114" s="3"/>
      <c r="V114" s="3">
        <v>0</v>
      </c>
      <c r="W114" s="22"/>
      <c r="Z114" s="27">
        <f t="shared" si="1"/>
        <v>0.5</v>
      </c>
    </row>
    <row r="115" spans="1:26" ht="23" customHeight="1">
      <c r="A115" s="3" t="s">
        <v>222</v>
      </c>
      <c r="B115" s="3" t="s">
        <v>298</v>
      </c>
      <c r="C115" s="3" t="s">
        <v>299</v>
      </c>
      <c r="D115" s="3" t="s">
        <v>22</v>
      </c>
      <c r="E115" s="3" t="s">
        <v>23</v>
      </c>
      <c r="F115" s="25"/>
      <c r="G115" s="3">
        <v>3</v>
      </c>
      <c r="H115" s="3">
        <v>13</v>
      </c>
      <c r="I115" s="3">
        <v>0</v>
      </c>
      <c r="J115" s="3">
        <v>8</v>
      </c>
      <c r="K115" s="3">
        <v>0</v>
      </c>
      <c r="L115" s="3">
        <v>0</v>
      </c>
      <c r="M115" s="3">
        <v>0</v>
      </c>
      <c r="N115" s="3">
        <v>0</v>
      </c>
      <c r="O115" s="3">
        <v>5</v>
      </c>
      <c r="P115" s="18"/>
      <c r="Q115" s="18"/>
      <c r="R115" s="18"/>
      <c r="S115" s="3"/>
      <c r="T115" s="3">
        <v>0</v>
      </c>
      <c r="U115" s="3">
        <v>-16</v>
      </c>
      <c r="V115" s="3">
        <v>0</v>
      </c>
      <c r="W115" s="22"/>
      <c r="Z115" s="27">
        <f t="shared" si="1"/>
        <v>2.6666666666666665</v>
      </c>
    </row>
    <row r="116" spans="1:26" ht="20" customHeight="1">
      <c r="A116" s="3" t="s">
        <v>225</v>
      </c>
      <c r="B116" s="3" t="s">
        <v>300</v>
      </c>
      <c r="C116" s="3" t="s">
        <v>301</v>
      </c>
      <c r="D116" s="3" t="s">
        <v>22</v>
      </c>
      <c r="E116" s="3" t="s">
        <v>23</v>
      </c>
      <c r="F116" s="25"/>
      <c r="G116" s="3">
        <v>2</v>
      </c>
      <c r="H116" s="3">
        <v>5</v>
      </c>
      <c r="I116" s="3">
        <v>0</v>
      </c>
      <c r="J116" s="3">
        <v>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18"/>
      <c r="Q116" s="18"/>
      <c r="R116" s="18"/>
      <c r="S116" s="3"/>
      <c r="T116" s="3">
        <v>0</v>
      </c>
      <c r="U116" s="3">
        <v>-1</v>
      </c>
      <c r="V116" s="3">
        <v>1349271</v>
      </c>
      <c r="W116" s="22"/>
      <c r="Z116" s="27">
        <f t="shared" si="1"/>
        <v>2.5</v>
      </c>
    </row>
    <row r="117" spans="1:26" ht="20" customHeight="1">
      <c r="A117" s="3" t="s">
        <v>85</v>
      </c>
      <c r="B117" s="3" t="s">
        <v>302</v>
      </c>
      <c r="C117" s="3" t="s">
        <v>303</v>
      </c>
      <c r="D117" s="3" t="s">
        <v>30</v>
      </c>
      <c r="E117" s="3" t="s">
        <v>23</v>
      </c>
      <c r="F117" s="25"/>
      <c r="G117" s="3">
        <v>2</v>
      </c>
      <c r="H117" s="3">
        <v>2</v>
      </c>
      <c r="I117" s="3">
        <v>0</v>
      </c>
      <c r="J117" s="3">
        <v>2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18"/>
      <c r="Q117" s="18"/>
      <c r="R117" s="18"/>
      <c r="S117" s="3"/>
      <c r="T117" s="3"/>
      <c r="U117" s="3"/>
      <c r="V117" s="3">
        <v>37929.895329999999</v>
      </c>
      <c r="W117" s="22"/>
      <c r="Z117" s="27">
        <f t="shared" si="1"/>
        <v>1</v>
      </c>
    </row>
    <row r="118" spans="1:26" ht="20" customHeight="1">
      <c r="A118" s="3" t="s">
        <v>152</v>
      </c>
      <c r="B118" s="3" t="s">
        <v>304</v>
      </c>
      <c r="C118" s="3" t="s">
        <v>305</v>
      </c>
      <c r="D118" s="3" t="s">
        <v>22</v>
      </c>
      <c r="E118" s="3" t="s">
        <v>23</v>
      </c>
      <c r="F118" s="25"/>
      <c r="G118" s="3">
        <v>1</v>
      </c>
      <c r="H118" s="3">
        <v>2</v>
      </c>
      <c r="I118" s="3">
        <v>0</v>
      </c>
      <c r="J118" s="3">
        <v>2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18"/>
      <c r="Q118" s="18"/>
      <c r="R118" s="18"/>
      <c r="S118" s="3"/>
      <c r="T118" s="3"/>
      <c r="U118" s="3"/>
      <c r="V118" s="3">
        <v>149668.82500000001</v>
      </c>
      <c r="W118" s="22"/>
      <c r="Z118" s="27">
        <f t="shared" si="1"/>
        <v>2</v>
      </c>
    </row>
    <row r="119" spans="1:26" ht="23" customHeight="1">
      <c r="A119" s="3" t="s">
        <v>306</v>
      </c>
      <c r="B119" s="3" t="s">
        <v>307</v>
      </c>
      <c r="C119" s="3" t="s">
        <v>308</v>
      </c>
      <c r="D119" s="3" t="s">
        <v>30</v>
      </c>
      <c r="E119" s="3" t="s">
        <v>23</v>
      </c>
      <c r="F119" s="25"/>
      <c r="G119" s="3">
        <v>1</v>
      </c>
      <c r="H119" s="3">
        <v>2</v>
      </c>
      <c r="I119" s="3">
        <v>0</v>
      </c>
      <c r="J119" s="3">
        <v>2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18"/>
      <c r="Q119" s="18"/>
      <c r="R119" s="18"/>
      <c r="S119" s="3"/>
      <c r="T119" s="3"/>
      <c r="U119" s="3"/>
      <c r="V119" s="3"/>
      <c r="W119" s="22"/>
      <c r="Z119" s="27">
        <f t="shared" si="1"/>
        <v>2</v>
      </c>
    </row>
    <row r="120" spans="1:26" ht="23" customHeight="1">
      <c r="A120" s="3" t="s">
        <v>309</v>
      </c>
      <c r="B120" s="3" t="s">
        <v>310</v>
      </c>
      <c r="C120" s="3" t="s">
        <v>311</v>
      </c>
      <c r="D120" s="3" t="s">
        <v>22</v>
      </c>
      <c r="E120" s="3" t="s">
        <v>23</v>
      </c>
      <c r="F120" s="25"/>
      <c r="G120" s="3">
        <v>1</v>
      </c>
      <c r="H120" s="3">
        <v>2</v>
      </c>
      <c r="I120" s="3">
        <v>0</v>
      </c>
      <c r="J120" s="3">
        <v>2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18"/>
      <c r="Q120" s="18"/>
      <c r="R120" s="18"/>
      <c r="S120" s="3"/>
      <c r="T120" s="3"/>
      <c r="U120" s="3"/>
      <c r="V120" s="3">
        <v>336812.254449</v>
      </c>
      <c r="W120" s="22"/>
      <c r="Z120" s="27">
        <f t="shared" si="1"/>
        <v>2</v>
      </c>
    </row>
    <row r="121" spans="1:26" ht="34" customHeight="1">
      <c r="A121" s="3" t="s">
        <v>312</v>
      </c>
      <c r="B121" s="3" t="s">
        <v>313</v>
      </c>
      <c r="C121" s="3" t="s">
        <v>314</v>
      </c>
      <c r="D121" s="3" t="s">
        <v>22</v>
      </c>
      <c r="E121" s="3" t="s">
        <v>23</v>
      </c>
      <c r="F121" s="25"/>
      <c r="G121" s="3">
        <v>3</v>
      </c>
      <c r="H121" s="3">
        <v>9</v>
      </c>
      <c r="I121" s="3">
        <v>0</v>
      </c>
      <c r="J121" s="3">
        <v>6</v>
      </c>
      <c r="K121" s="3">
        <v>0</v>
      </c>
      <c r="L121" s="3">
        <v>0</v>
      </c>
      <c r="M121" s="3">
        <v>0</v>
      </c>
      <c r="N121" s="3">
        <v>0</v>
      </c>
      <c r="O121" s="3">
        <v>3</v>
      </c>
      <c r="P121" s="18"/>
      <c r="Q121" s="18"/>
      <c r="R121" s="18"/>
      <c r="S121" s="3"/>
      <c r="T121" s="3">
        <v>0</v>
      </c>
      <c r="U121" s="3">
        <v>-6</v>
      </c>
      <c r="V121" s="3">
        <v>777020.21200000006</v>
      </c>
      <c r="W121" s="22"/>
      <c r="Z121" s="27">
        <f t="shared" si="1"/>
        <v>2</v>
      </c>
    </row>
    <row r="122" spans="1:26" ht="23" customHeight="1">
      <c r="A122" s="3" t="s">
        <v>315</v>
      </c>
      <c r="B122" s="3" t="s">
        <v>316</v>
      </c>
      <c r="C122" s="3" t="s">
        <v>317</v>
      </c>
      <c r="D122" s="3" t="s">
        <v>30</v>
      </c>
      <c r="E122" s="3" t="s">
        <v>23</v>
      </c>
      <c r="F122" s="25"/>
      <c r="G122" s="3">
        <v>10</v>
      </c>
      <c r="H122" s="3">
        <v>39</v>
      </c>
      <c r="I122" s="3">
        <v>0</v>
      </c>
      <c r="J122" s="3">
        <v>38</v>
      </c>
      <c r="K122" s="3">
        <v>1</v>
      </c>
      <c r="L122" s="3">
        <v>0</v>
      </c>
      <c r="M122" s="3">
        <v>0</v>
      </c>
      <c r="N122" s="3">
        <v>0</v>
      </c>
      <c r="O122" s="3">
        <v>0</v>
      </c>
      <c r="P122" s="18"/>
      <c r="Q122" s="18"/>
      <c r="R122" s="18"/>
      <c r="S122" s="3"/>
      <c r="T122" s="3">
        <v>0</v>
      </c>
      <c r="U122" s="3">
        <v>-9</v>
      </c>
      <c r="V122" s="3">
        <v>75668.846695544707</v>
      </c>
      <c r="W122" s="22"/>
      <c r="Z122" s="27">
        <f t="shared" si="1"/>
        <v>3.8</v>
      </c>
    </row>
    <row r="123" spans="1:26" ht="23" customHeight="1">
      <c r="A123" s="3" t="s">
        <v>315</v>
      </c>
      <c r="B123" s="3" t="s">
        <v>318</v>
      </c>
      <c r="C123" s="3" t="s">
        <v>317</v>
      </c>
      <c r="D123" s="3" t="s">
        <v>30</v>
      </c>
      <c r="E123" s="3" t="s">
        <v>23</v>
      </c>
      <c r="F123" s="25"/>
      <c r="G123" s="3">
        <v>4</v>
      </c>
      <c r="H123" s="3">
        <v>4</v>
      </c>
      <c r="I123" s="3">
        <v>0</v>
      </c>
      <c r="J123" s="3">
        <v>4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18"/>
      <c r="Q123" s="18"/>
      <c r="R123" s="18"/>
      <c r="S123" s="3"/>
      <c r="T123" s="3"/>
      <c r="U123" s="3"/>
      <c r="V123" s="3">
        <v>100912.692257</v>
      </c>
      <c r="W123" s="22"/>
      <c r="Z123" s="27">
        <f t="shared" si="1"/>
        <v>1</v>
      </c>
    </row>
    <row r="124" spans="1:26" ht="23" customHeight="1">
      <c r="A124" s="3" t="s">
        <v>315</v>
      </c>
      <c r="B124" s="3" t="s">
        <v>319</v>
      </c>
      <c r="C124" s="3" t="s">
        <v>320</v>
      </c>
      <c r="D124" s="3" t="s">
        <v>30</v>
      </c>
      <c r="E124" s="3" t="s">
        <v>23</v>
      </c>
      <c r="F124" s="25"/>
      <c r="G124" s="3">
        <v>4</v>
      </c>
      <c r="H124" s="3">
        <v>5</v>
      </c>
      <c r="I124" s="3">
        <v>0</v>
      </c>
      <c r="J124" s="3">
        <v>3</v>
      </c>
      <c r="K124" s="3">
        <v>0</v>
      </c>
      <c r="L124" s="3">
        <v>0</v>
      </c>
      <c r="M124" s="3">
        <v>0</v>
      </c>
      <c r="N124" s="3">
        <v>0</v>
      </c>
      <c r="O124" s="3">
        <v>2</v>
      </c>
      <c r="P124" s="18"/>
      <c r="Q124" s="18"/>
      <c r="R124" s="18"/>
      <c r="S124" s="3"/>
      <c r="T124" s="3">
        <v>0</v>
      </c>
      <c r="U124" s="3">
        <v>-1</v>
      </c>
      <c r="V124" s="3">
        <v>178757.54999999996</v>
      </c>
      <c r="W124" s="22"/>
      <c r="Z124" s="27">
        <f t="shared" si="1"/>
        <v>0.75</v>
      </c>
    </row>
    <row r="125" spans="1:26" ht="23" customHeight="1">
      <c r="A125" s="3" t="s">
        <v>315</v>
      </c>
      <c r="B125" s="3" t="s">
        <v>321</v>
      </c>
      <c r="C125" s="3" t="s">
        <v>320</v>
      </c>
      <c r="D125" s="3" t="s">
        <v>30</v>
      </c>
      <c r="E125" s="3" t="s">
        <v>23</v>
      </c>
      <c r="F125" s="25"/>
      <c r="G125" s="3">
        <v>4</v>
      </c>
      <c r="H125" s="3">
        <v>21</v>
      </c>
      <c r="I125" s="3">
        <v>0</v>
      </c>
      <c r="J125" s="3">
        <v>21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18"/>
      <c r="Q125" s="18"/>
      <c r="R125" s="18"/>
      <c r="S125" s="3"/>
      <c r="T125" s="3">
        <v>0</v>
      </c>
      <c r="U125" s="3">
        <v>0</v>
      </c>
      <c r="V125" s="3">
        <v>135048.01967229997</v>
      </c>
      <c r="W125" s="22"/>
      <c r="Z125" s="27">
        <f t="shared" si="1"/>
        <v>5.25</v>
      </c>
    </row>
    <row r="126" spans="1:26" ht="23" customHeight="1">
      <c r="A126" s="3" t="s">
        <v>315</v>
      </c>
      <c r="B126" s="3" t="s">
        <v>322</v>
      </c>
      <c r="C126" s="3" t="s">
        <v>320</v>
      </c>
      <c r="D126" s="3" t="s">
        <v>30</v>
      </c>
      <c r="E126" s="3" t="s">
        <v>23</v>
      </c>
      <c r="F126" s="25"/>
      <c r="G126" s="3">
        <v>4</v>
      </c>
      <c r="H126" s="3">
        <v>6</v>
      </c>
      <c r="I126" s="3">
        <v>0</v>
      </c>
      <c r="J126" s="3">
        <v>6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18"/>
      <c r="Q126" s="18"/>
      <c r="R126" s="18"/>
      <c r="S126" s="3"/>
      <c r="T126" s="3"/>
      <c r="U126" s="3"/>
      <c r="V126" s="3">
        <v>121812.96366179999</v>
      </c>
      <c r="W126" s="22"/>
      <c r="Z126" s="27">
        <f t="shared" si="1"/>
        <v>1.5</v>
      </c>
    </row>
    <row r="127" spans="1:26" ht="34" customHeight="1">
      <c r="A127" s="3" t="s">
        <v>323</v>
      </c>
      <c r="B127" s="3" t="s">
        <v>324</v>
      </c>
      <c r="C127" s="3" t="s">
        <v>325</v>
      </c>
      <c r="D127" s="3" t="s">
        <v>22</v>
      </c>
      <c r="E127" s="3" t="s">
        <v>23</v>
      </c>
      <c r="F127" s="25"/>
      <c r="G127" s="3">
        <v>1</v>
      </c>
      <c r="H127" s="3">
        <v>1</v>
      </c>
      <c r="I127" s="3">
        <v>0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18"/>
      <c r="Q127" s="18"/>
      <c r="R127" s="18"/>
      <c r="S127" s="3"/>
      <c r="T127" s="3"/>
      <c r="U127" s="3"/>
      <c r="V127" s="3">
        <v>0</v>
      </c>
      <c r="W127" s="22"/>
      <c r="Z127" s="27">
        <f t="shared" si="1"/>
        <v>1</v>
      </c>
    </row>
    <row r="128" spans="1:26" ht="23" customHeight="1">
      <c r="A128" s="3" t="s">
        <v>39</v>
      </c>
      <c r="B128" s="3" t="s">
        <v>326</v>
      </c>
      <c r="C128" s="3" t="s">
        <v>327</v>
      </c>
      <c r="D128" s="3" t="s">
        <v>22</v>
      </c>
      <c r="E128" s="3" t="s">
        <v>23</v>
      </c>
      <c r="F128" s="25"/>
      <c r="G128" s="3">
        <v>1</v>
      </c>
      <c r="H128" s="3">
        <v>2</v>
      </c>
      <c r="I128" s="3">
        <v>0</v>
      </c>
      <c r="J128" s="3">
        <v>2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18"/>
      <c r="Q128" s="18"/>
      <c r="R128" s="18"/>
      <c r="S128" s="3"/>
      <c r="T128" s="3"/>
      <c r="U128" s="3"/>
      <c r="V128" s="3">
        <v>4747673.2799999993</v>
      </c>
      <c r="W128" s="22"/>
      <c r="Z128" s="27">
        <f t="shared" si="1"/>
        <v>2</v>
      </c>
    </row>
    <row r="129" spans="1:26" ht="23" customHeight="1">
      <c r="A129" s="3" t="s">
        <v>39</v>
      </c>
      <c r="B129" s="3" t="s">
        <v>328</v>
      </c>
      <c r="C129" s="3" t="s">
        <v>327</v>
      </c>
      <c r="D129" s="3" t="s">
        <v>22</v>
      </c>
      <c r="E129" s="3" t="s">
        <v>23</v>
      </c>
      <c r="F129" s="25"/>
      <c r="G129" s="3">
        <v>1</v>
      </c>
      <c r="H129" s="3">
        <v>3</v>
      </c>
      <c r="I129" s="3">
        <v>0</v>
      </c>
      <c r="J129" s="3">
        <v>3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18"/>
      <c r="Q129" s="18"/>
      <c r="R129" s="18"/>
      <c r="S129" s="3"/>
      <c r="T129" s="3"/>
      <c r="U129" s="3"/>
      <c r="V129" s="3">
        <v>5627537.9366100002</v>
      </c>
      <c r="W129" s="22"/>
      <c r="Z129" s="27">
        <f t="shared" si="1"/>
        <v>3</v>
      </c>
    </row>
    <row r="130" spans="1:26" ht="20" customHeight="1">
      <c r="A130" s="3" t="s">
        <v>329</v>
      </c>
      <c r="B130" s="3" t="s">
        <v>330</v>
      </c>
      <c r="C130" s="3" t="s">
        <v>331</v>
      </c>
      <c r="D130" s="3" t="s">
        <v>22</v>
      </c>
      <c r="E130" s="3" t="s">
        <v>23</v>
      </c>
      <c r="F130" s="25"/>
      <c r="G130" s="3">
        <v>1</v>
      </c>
      <c r="H130" s="3">
        <v>1</v>
      </c>
      <c r="I130" s="3">
        <v>0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8"/>
      <c r="Q130" s="18"/>
      <c r="R130" s="18"/>
      <c r="S130" s="3"/>
      <c r="T130" s="3"/>
      <c r="U130" s="3"/>
      <c r="V130" s="3">
        <v>0</v>
      </c>
      <c r="W130" s="22"/>
      <c r="Z130" s="27">
        <f t="shared" si="1"/>
        <v>1</v>
      </c>
    </row>
    <row r="131" spans="1:26" ht="23" customHeight="1">
      <c r="A131" s="3" t="s">
        <v>329</v>
      </c>
      <c r="B131" s="3" t="s">
        <v>332</v>
      </c>
      <c r="C131" s="3" t="s">
        <v>333</v>
      </c>
      <c r="D131" s="3" t="s">
        <v>22</v>
      </c>
      <c r="E131" s="3" t="s">
        <v>23</v>
      </c>
      <c r="F131" s="25"/>
      <c r="G131" s="3">
        <v>1</v>
      </c>
      <c r="H131" s="3">
        <v>2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1</v>
      </c>
      <c r="P131" s="18"/>
      <c r="Q131" s="18"/>
      <c r="R131" s="18"/>
      <c r="S131" s="3"/>
      <c r="T131" s="3">
        <v>0</v>
      </c>
      <c r="U131" s="3">
        <v>-1</v>
      </c>
      <c r="V131" s="3"/>
      <c r="W131" s="22"/>
      <c r="Z131" s="27">
        <f t="shared" si="1"/>
        <v>1</v>
      </c>
    </row>
    <row r="132" spans="1:26" ht="20" customHeight="1">
      <c r="A132" s="3" t="s">
        <v>329</v>
      </c>
      <c r="B132" s="3" t="s">
        <v>334</v>
      </c>
      <c r="C132" s="3" t="s">
        <v>335</v>
      </c>
      <c r="D132" s="3" t="s">
        <v>22</v>
      </c>
      <c r="E132" s="3" t="s">
        <v>23</v>
      </c>
      <c r="F132" s="25"/>
      <c r="G132" s="3">
        <v>1</v>
      </c>
      <c r="H132" s="3">
        <v>2</v>
      </c>
      <c r="I132" s="3">
        <v>0</v>
      </c>
      <c r="J132" s="3">
        <v>2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18"/>
      <c r="Q132" s="18"/>
      <c r="R132" s="18"/>
      <c r="S132" s="3"/>
      <c r="T132" s="3"/>
      <c r="U132" s="3"/>
      <c r="V132" s="3"/>
      <c r="W132" s="22"/>
      <c r="Z132" s="27">
        <f t="shared" ref="Z132:Z195" si="2">J132/G132</f>
        <v>2</v>
      </c>
    </row>
    <row r="133" spans="1:26" ht="23" customHeight="1">
      <c r="A133" s="3" t="s">
        <v>329</v>
      </c>
      <c r="B133" s="3" t="s">
        <v>336</v>
      </c>
      <c r="C133" s="3" t="s">
        <v>337</v>
      </c>
      <c r="D133" s="3" t="s">
        <v>22</v>
      </c>
      <c r="E133" s="3" t="s">
        <v>23</v>
      </c>
      <c r="F133" s="25"/>
      <c r="G133" s="3">
        <v>1</v>
      </c>
      <c r="H133" s="3">
        <v>3</v>
      </c>
      <c r="I133" s="3">
        <v>0</v>
      </c>
      <c r="J133" s="3">
        <v>3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18"/>
      <c r="Q133" s="18"/>
      <c r="R133" s="18"/>
      <c r="S133" s="3"/>
      <c r="T133" s="3"/>
      <c r="U133" s="3"/>
      <c r="V133" s="3">
        <v>1411477.2375</v>
      </c>
      <c r="W133" s="22"/>
      <c r="Z133" s="27">
        <f t="shared" si="2"/>
        <v>3</v>
      </c>
    </row>
    <row r="134" spans="1:26" ht="20" customHeight="1">
      <c r="A134" s="3" t="s">
        <v>329</v>
      </c>
      <c r="B134" s="3" t="s">
        <v>338</v>
      </c>
      <c r="C134" s="3" t="s">
        <v>339</v>
      </c>
      <c r="D134" s="3" t="s">
        <v>22</v>
      </c>
      <c r="E134" s="3" t="s">
        <v>23</v>
      </c>
      <c r="F134" s="25"/>
      <c r="G134" s="3">
        <v>1</v>
      </c>
      <c r="H134" s="3">
        <v>1</v>
      </c>
      <c r="I134" s="3">
        <v>0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18"/>
      <c r="Q134" s="18"/>
      <c r="R134" s="18"/>
      <c r="S134" s="3"/>
      <c r="T134" s="3"/>
      <c r="U134" s="3"/>
      <c r="V134" s="3"/>
      <c r="W134" s="22"/>
      <c r="Z134" s="27">
        <f t="shared" si="2"/>
        <v>1</v>
      </c>
    </row>
    <row r="135" spans="1:26" ht="23" customHeight="1">
      <c r="A135" s="3" t="s">
        <v>329</v>
      </c>
      <c r="B135" s="3" t="s">
        <v>340</v>
      </c>
      <c r="C135" s="3" t="s">
        <v>341</v>
      </c>
      <c r="D135" s="3" t="s">
        <v>22</v>
      </c>
      <c r="E135" s="3" t="s">
        <v>23</v>
      </c>
      <c r="F135" s="25"/>
      <c r="G135" s="3">
        <v>2</v>
      </c>
      <c r="H135" s="3">
        <v>4</v>
      </c>
      <c r="I135" s="3">
        <v>0</v>
      </c>
      <c r="J135" s="3">
        <v>4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18"/>
      <c r="Q135" s="18"/>
      <c r="R135" s="18"/>
      <c r="S135" s="3"/>
      <c r="T135" s="3">
        <v>0</v>
      </c>
      <c r="U135" s="3">
        <v>-2</v>
      </c>
      <c r="V135" s="3">
        <v>601610.81999999995</v>
      </c>
      <c r="W135" s="22"/>
      <c r="Z135" s="27">
        <f t="shared" si="2"/>
        <v>2</v>
      </c>
    </row>
    <row r="136" spans="1:26" ht="23" customHeight="1">
      <c r="A136" s="3" t="s">
        <v>230</v>
      </c>
      <c r="B136" s="3" t="s">
        <v>342</v>
      </c>
      <c r="C136" s="3" t="s">
        <v>343</v>
      </c>
      <c r="D136" s="3" t="s">
        <v>22</v>
      </c>
      <c r="E136" s="3" t="s">
        <v>23</v>
      </c>
      <c r="F136" s="25"/>
      <c r="G136" s="3">
        <v>1</v>
      </c>
      <c r="H136" s="3">
        <v>9</v>
      </c>
      <c r="I136" s="3">
        <v>0</v>
      </c>
      <c r="J136" s="3">
        <v>9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18"/>
      <c r="Q136" s="18"/>
      <c r="R136" s="18"/>
      <c r="S136" s="3"/>
      <c r="T136" s="3">
        <v>0</v>
      </c>
      <c r="U136" s="3">
        <v>-2</v>
      </c>
      <c r="V136" s="3">
        <v>83329.038479999988</v>
      </c>
      <c r="W136" s="22"/>
      <c r="Z136" s="27">
        <f t="shared" si="2"/>
        <v>9</v>
      </c>
    </row>
    <row r="137" spans="1:26" ht="23" customHeight="1">
      <c r="A137" s="3" t="s">
        <v>64</v>
      </c>
      <c r="B137" s="3" t="s">
        <v>344</v>
      </c>
      <c r="C137" s="3" t="s">
        <v>345</v>
      </c>
      <c r="D137" s="3" t="s">
        <v>22</v>
      </c>
      <c r="E137" s="3" t="s">
        <v>23</v>
      </c>
      <c r="F137" s="25"/>
      <c r="G137" s="3">
        <v>1</v>
      </c>
      <c r="H137" s="3">
        <v>4</v>
      </c>
      <c r="I137" s="3">
        <v>0</v>
      </c>
      <c r="J137" s="3">
        <v>4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18"/>
      <c r="Q137" s="18"/>
      <c r="R137" s="18"/>
      <c r="S137" s="3"/>
      <c r="T137" s="3">
        <v>0</v>
      </c>
      <c r="U137" s="3">
        <v>-2</v>
      </c>
      <c r="V137" s="3">
        <v>90097.514542555553</v>
      </c>
      <c r="W137" s="22"/>
      <c r="Z137" s="27">
        <f t="shared" si="2"/>
        <v>4</v>
      </c>
    </row>
    <row r="138" spans="1:26" ht="20" customHeight="1">
      <c r="A138" s="3" t="s">
        <v>230</v>
      </c>
      <c r="B138" s="3" t="s">
        <v>346</v>
      </c>
      <c r="C138" s="3" t="s">
        <v>343</v>
      </c>
      <c r="D138" s="3" t="s">
        <v>22</v>
      </c>
      <c r="E138" s="3" t="s">
        <v>23</v>
      </c>
      <c r="F138" s="25"/>
      <c r="G138" s="3">
        <v>1</v>
      </c>
      <c r="H138" s="3">
        <v>3</v>
      </c>
      <c r="I138" s="3">
        <v>0</v>
      </c>
      <c r="J138" s="3">
        <v>3</v>
      </c>
      <c r="K138" s="3">
        <v>0</v>
      </c>
      <c r="L138" s="3">
        <v>1</v>
      </c>
      <c r="M138" s="3">
        <v>2</v>
      </c>
      <c r="N138" s="3">
        <v>0</v>
      </c>
      <c r="O138" s="3">
        <v>0</v>
      </c>
      <c r="P138" s="18"/>
      <c r="Q138" s="18"/>
      <c r="R138" s="18"/>
      <c r="S138" s="3"/>
      <c r="T138" s="3">
        <v>0</v>
      </c>
      <c r="U138" s="3">
        <v>-4</v>
      </c>
      <c r="V138" s="3">
        <v>35143.509590000001</v>
      </c>
      <c r="W138" s="22"/>
      <c r="Z138" s="27">
        <f t="shared" si="2"/>
        <v>3</v>
      </c>
    </row>
    <row r="139" spans="1:26" ht="23" customHeight="1">
      <c r="A139" s="3" t="s">
        <v>230</v>
      </c>
      <c r="B139" s="3" t="s">
        <v>347</v>
      </c>
      <c r="C139" s="3" t="s">
        <v>348</v>
      </c>
      <c r="D139" s="3" t="s">
        <v>22</v>
      </c>
      <c r="E139" s="3" t="s">
        <v>23</v>
      </c>
      <c r="F139" s="25"/>
      <c r="G139" s="3">
        <v>1</v>
      </c>
      <c r="H139" s="3">
        <v>13</v>
      </c>
      <c r="I139" s="3">
        <v>0</v>
      </c>
      <c r="J139" s="3">
        <v>13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18"/>
      <c r="Q139" s="18"/>
      <c r="R139" s="18"/>
      <c r="S139" s="3"/>
      <c r="T139" s="3">
        <v>0</v>
      </c>
      <c r="U139" s="3">
        <v>-2</v>
      </c>
      <c r="V139" s="3">
        <v>104101.55549999997</v>
      </c>
      <c r="W139" s="22"/>
      <c r="Z139" s="27">
        <f t="shared" si="2"/>
        <v>13</v>
      </c>
    </row>
    <row r="140" spans="1:26" ht="23" customHeight="1">
      <c r="A140" s="3" t="s">
        <v>230</v>
      </c>
      <c r="B140" s="3" t="s">
        <v>349</v>
      </c>
      <c r="C140" s="3" t="s">
        <v>350</v>
      </c>
      <c r="D140" s="3" t="s">
        <v>22</v>
      </c>
      <c r="E140" s="3" t="s">
        <v>23</v>
      </c>
      <c r="F140" s="25"/>
      <c r="G140" s="3">
        <v>1</v>
      </c>
      <c r="H140" s="3">
        <v>2</v>
      </c>
      <c r="I140" s="3">
        <v>0</v>
      </c>
      <c r="J140" s="3">
        <v>2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18"/>
      <c r="Q140" s="18"/>
      <c r="R140" s="18"/>
      <c r="S140" s="3"/>
      <c r="T140" s="3"/>
      <c r="U140" s="3"/>
      <c r="V140" s="3">
        <v>54063.341475000001</v>
      </c>
      <c r="W140" s="22"/>
      <c r="Z140" s="27">
        <f t="shared" si="2"/>
        <v>2</v>
      </c>
    </row>
    <row r="141" spans="1:26" ht="23" customHeight="1">
      <c r="A141" s="3" t="s">
        <v>230</v>
      </c>
      <c r="B141" s="3" t="s">
        <v>351</v>
      </c>
      <c r="C141" s="3" t="s">
        <v>352</v>
      </c>
      <c r="D141" s="3" t="s">
        <v>22</v>
      </c>
      <c r="E141" s="3" t="s">
        <v>23</v>
      </c>
      <c r="F141" s="25"/>
      <c r="G141" s="3">
        <v>1</v>
      </c>
      <c r="H141" s="3">
        <v>2</v>
      </c>
      <c r="I141" s="3">
        <v>0</v>
      </c>
      <c r="J141" s="3">
        <v>2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18"/>
      <c r="Q141" s="18"/>
      <c r="R141" s="18"/>
      <c r="S141" s="3"/>
      <c r="T141" s="3">
        <v>0</v>
      </c>
      <c r="U141" s="3">
        <v>-1</v>
      </c>
      <c r="V141" s="3">
        <v>75132.800027999998</v>
      </c>
      <c r="W141" s="22"/>
      <c r="Z141" s="27">
        <f t="shared" si="2"/>
        <v>2</v>
      </c>
    </row>
    <row r="142" spans="1:26" ht="20" customHeight="1">
      <c r="A142" s="3" t="s">
        <v>230</v>
      </c>
      <c r="B142" s="3" t="s">
        <v>353</v>
      </c>
      <c r="C142" s="3" t="s">
        <v>354</v>
      </c>
      <c r="D142" s="3" t="s">
        <v>22</v>
      </c>
      <c r="E142" s="3" t="s">
        <v>23</v>
      </c>
      <c r="F142" s="25"/>
      <c r="G142" s="3">
        <v>1</v>
      </c>
      <c r="H142" s="3">
        <v>1</v>
      </c>
      <c r="I142" s="3">
        <v>0</v>
      </c>
      <c r="J142" s="3">
        <v>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18"/>
      <c r="Q142" s="18"/>
      <c r="R142" s="18"/>
      <c r="S142" s="3"/>
      <c r="T142" s="3"/>
      <c r="U142" s="3"/>
      <c r="V142" s="3">
        <v>0</v>
      </c>
      <c r="W142" s="22"/>
      <c r="Z142" s="27">
        <f t="shared" si="2"/>
        <v>1</v>
      </c>
    </row>
    <row r="143" spans="1:26" ht="20" customHeight="1">
      <c r="A143" s="3" t="s">
        <v>230</v>
      </c>
      <c r="B143" s="3" t="s">
        <v>355</v>
      </c>
      <c r="C143" s="3" t="s">
        <v>356</v>
      </c>
      <c r="D143" s="3" t="s">
        <v>22</v>
      </c>
      <c r="E143" s="3" t="s">
        <v>23</v>
      </c>
      <c r="F143" s="25"/>
      <c r="G143" s="3">
        <v>1</v>
      </c>
      <c r="H143" s="3">
        <v>1</v>
      </c>
      <c r="I143" s="3">
        <v>0</v>
      </c>
      <c r="J143" s="3">
        <v>1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18"/>
      <c r="Q143" s="18"/>
      <c r="R143" s="18"/>
      <c r="S143" s="3"/>
      <c r="T143" s="3"/>
      <c r="U143" s="3"/>
      <c r="V143" s="3">
        <v>0</v>
      </c>
      <c r="W143" s="22"/>
      <c r="Z143" s="27">
        <f t="shared" si="2"/>
        <v>1</v>
      </c>
    </row>
    <row r="144" spans="1:26" ht="20" customHeight="1">
      <c r="A144" s="3" t="s">
        <v>230</v>
      </c>
      <c r="B144" s="3" t="s">
        <v>357</v>
      </c>
      <c r="C144" s="3" t="s">
        <v>358</v>
      </c>
      <c r="D144" s="3" t="s">
        <v>22</v>
      </c>
      <c r="E144" s="3" t="s">
        <v>23</v>
      </c>
      <c r="F144" s="25"/>
      <c r="G144" s="3">
        <v>1</v>
      </c>
      <c r="H144" s="3">
        <v>1</v>
      </c>
      <c r="I144" s="3">
        <v>0</v>
      </c>
      <c r="J144" s="3">
        <v>1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18"/>
      <c r="Q144" s="18"/>
      <c r="R144" s="18"/>
      <c r="S144" s="3"/>
      <c r="T144" s="3"/>
      <c r="U144" s="3"/>
      <c r="V144" s="3">
        <v>0</v>
      </c>
      <c r="W144" s="22"/>
      <c r="Z144" s="27">
        <f t="shared" si="2"/>
        <v>1</v>
      </c>
    </row>
    <row r="145" spans="1:27" ht="20" customHeight="1">
      <c r="A145" s="3" t="s">
        <v>230</v>
      </c>
      <c r="B145" s="3" t="s">
        <v>359</v>
      </c>
      <c r="C145" s="3" t="s">
        <v>360</v>
      </c>
      <c r="D145" s="3" t="s">
        <v>22</v>
      </c>
      <c r="E145" s="3" t="s">
        <v>23</v>
      </c>
      <c r="F145" s="25"/>
      <c r="G145" s="3">
        <v>1</v>
      </c>
      <c r="H145" s="3">
        <v>1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18"/>
      <c r="Q145" s="18"/>
      <c r="R145" s="18"/>
      <c r="S145" s="3"/>
      <c r="T145" s="3">
        <v>0</v>
      </c>
      <c r="U145" s="3">
        <v>-1</v>
      </c>
      <c r="V145" s="3">
        <v>66152.820000000007</v>
      </c>
      <c r="W145" s="22"/>
      <c r="Z145" s="27">
        <f t="shared" si="2"/>
        <v>1</v>
      </c>
    </row>
    <row r="146" spans="1:27" ht="20" customHeight="1">
      <c r="A146" s="3" t="s">
        <v>329</v>
      </c>
      <c r="B146" s="3" t="s">
        <v>361</v>
      </c>
      <c r="C146" s="3" t="s">
        <v>362</v>
      </c>
      <c r="D146" s="3" t="s">
        <v>22</v>
      </c>
      <c r="E146" s="3" t="s">
        <v>23</v>
      </c>
      <c r="F146" s="25"/>
      <c r="G146" s="3">
        <v>1</v>
      </c>
      <c r="H146" s="3">
        <v>1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18"/>
      <c r="Q146" s="18"/>
      <c r="R146" s="18"/>
      <c r="S146" s="3"/>
      <c r="T146" s="3"/>
      <c r="U146" s="3"/>
      <c r="V146" s="3"/>
      <c r="W146" s="22"/>
      <c r="Z146" s="27">
        <f t="shared" si="2"/>
        <v>1</v>
      </c>
    </row>
    <row r="147" spans="1:27" ht="23" customHeight="1">
      <c r="A147" s="3" t="s">
        <v>329</v>
      </c>
      <c r="B147" s="3" t="s">
        <v>363</v>
      </c>
      <c r="C147" s="3" t="s">
        <v>364</v>
      </c>
      <c r="D147" s="3" t="s">
        <v>22</v>
      </c>
      <c r="E147" s="3" t="s">
        <v>23</v>
      </c>
      <c r="F147" s="25"/>
      <c r="G147" s="3">
        <v>2</v>
      </c>
      <c r="H147" s="3">
        <v>3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2</v>
      </c>
      <c r="P147" s="18"/>
      <c r="Q147" s="18"/>
      <c r="R147" s="18"/>
      <c r="S147" s="3">
        <v>2</v>
      </c>
      <c r="T147" s="3">
        <v>0</v>
      </c>
      <c r="U147" s="3">
        <v>-5</v>
      </c>
      <c r="V147" s="3">
        <v>1648096.4206971426</v>
      </c>
      <c r="W147" s="22"/>
      <c r="Z147" s="27">
        <f t="shared" si="2"/>
        <v>0.5</v>
      </c>
      <c r="AA147" s="19">
        <v>1</v>
      </c>
    </row>
    <row r="148" spans="1:27" ht="23" customHeight="1">
      <c r="A148" s="3" t="s">
        <v>152</v>
      </c>
      <c r="B148" s="3" t="s">
        <v>365</v>
      </c>
      <c r="C148" s="3" t="s">
        <v>154</v>
      </c>
      <c r="D148" s="3" t="s">
        <v>22</v>
      </c>
      <c r="E148" s="3" t="s">
        <v>23</v>
      </c>
      <c r="F148" s="25"/>
      <c r="G148" s="3">
        <v>1</v>
      </c>
      <c r="H148" s="3">
        <v>13</v>
      </c>
      <c r="I148" s="3">
        <v>0</v>
      </c>
      <c r="J148" s="3">
        <v>4</v>
      </c>
      <c r="K148" s="3">
        <v>0</v>
      </c>
      <c r="L148" s="3">
        <v>0</v>
      </c>
      <c r="M148" s="3">
        <v>0</v>
      </c>
      <c r="N148" s="3">
        <v>3</v>
      </c>
      <c r="O148" s="3">
        <v>6</v>
      </c>
      <c r="P148" s="18"/>
      <c r="Q148" s="18"/>
      <c r="R148" s="18"/>
      <c r="S148" s="3"/>
      <c r="T148" s="3">
        <v>0</v>
      </c>
      <c r="U148" s="3">
        <v>-14</v>
      </c>
      <c r="V148" s="3"/>
      <c r="W148" s="22"/>
      <c r="Z148" s="27">
        <f t="shared" si="2"/>
        <v>4</v>
      </c>
    </row>
    <row r="149" spans="1:27" ht="23" customHeight="1">
      <c r="A149" s="3" t="s">
        <v>329</v>
      </c>
      <c r="B149" s="3" t="s">
        <v>366</v>
      </c>
      <c r="C149" s="3" t="s">
        <v>367</v>
      </c>
      <c r="D149" s="3" t="s">
        <v>30</v>
      </c>
      <c r="E149" s="3" t="s">
        <v>23</v>
      </c>
      <c r="F149" s="25"/>
      <c r="G149" s="3">
        <v>2</v>
      </c>
      <c r="H149" s="3">
        <v>3</v>
      </c>
      <c r="I149" s="3">
        <v>0</v>
      </c>
      <c r="J149" s="3">
        <v>3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18"/>
      <c r="Q149" s="18"/>
      <c r="R149" s="18"/>
      <c r="S149" s="3"/>
      <c r="T149" s="3"/>
      <c r="U149" s="3"/>
      <c r="V149" s="3">
        <v>167457.06000000003</v>
      </c>
      <c r="W149" s="22"/>
      <c r="Z149" s="27">
        <f t="shared" si="2"/>
        <v>1.5</v>
      </c>
    </row>
    <row r="150" spans="1:27" ht="23" customHeight="1">
      <c r="A150" s="3" t="s">
        <v>329</v>
      </c>
      <c r="B150" s="3" t="s">
        <v>368</v>
      </c>
      <c r="C150" s="3" t="s">
        <v>369</v>
      </c>
      <c r="D150" s="3" t="s">
        <v>30</v>
      </c>
      <c r="E150" s="3" t="s">
        <v>23</v>
      </c>
      <c r="F150" s="25"/>
      <c r="G150" s="3">
        <v>2</v>
      </c>
      <c r="H150" s="3">
        <v>2</v>
      </c>
      <c r="I150" s="3">
        <v>0</v>
      </c>
      <c r="J150" s="3">
        <v>2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18"/>
      <c r="Q150" s="18"/>
      <c r="R150" s="18"/>
      <c r="S150" s="3"/>
      <c r="T150" s="3"/>
      <c r="U150" s="3"/>
      <c r="V150" s="3">
        <v>116702.64</v>
      </c>
      <c r="W150" s="22"/>
      <c r="Z150" s="27">
        <f t="shared" si="2"/>
        <v>1</v>
      </c>
    </row>
    <row r="151" spans="1:27" ht="23" customHeight="1">
      <c r="A151" s="3" t="s">
        <v>329</v>
      </c>
      <c r="B151" s="3" t="s">
        <v>370</v>
      </c>
      <c r="C151" s="3" t="s">
        <v>369</v>
      </c>
      <c r="D151" s="3" t="s">
        <v>30</v>
      </c>
      <c r="E151" s="3" t="s">
        <v>23</v>
      </c>
      <c r="F151" s="25"/>
      <c r="G151" s="3">
        <v>2</v>
      </c>
      <c r="H151" s="3">
        <v>3</v>
      </c>
      <c r="I151" s="3">
        <v>0</v>
      </c>
      <c r="J151" s="3">
        <v>3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18"/>
      <c r="Q151" s="18"/>
      <c r="R151" s="18"/>
      <c r="S151" s="3"/>
      <c r="T151" s="3"/>
      <c r="U151" s="3"/>
      <c r="V151" s="3">
        <v>212215.845</v>
      </c>
      <c r="W151" s="22"/>
      <c r="Z151" s="27">
        <f t="shared" si="2"/>
        <v>1.5</v>
      </c>
    </row>
    <row r="152" spans="1:27" ht="23" customHeight="1">
      <c r="A152" s="3" t="s">
        <v>329</v>
      </c>
      <c r="B152" s="3" t="s">
        <v>371</v>
      </c>
      <c r="C152" s="3" t="s">
        <v>367</v>
      </c>
      <c r="D152" s="3" t="s">
        <v>30</v>
      </c>
      <c r="E152" s="3" t="s">
        <v>23</v>
      </c>
      <c r="F152" s="25"/>
      <c r="G152" s="3">
        <v>2</v>
      </c>
      <c r="H152" s="3">
        <v>3</v>
      </c>
      <c r="I152" s="3">
        <v>0</v>
      </c>
      <c r="J152" s="3">
        <v>3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18"/>
      <c r="Q152" s="18"/>
      <c r="R152" s="18"/>
      <c r="S152" s="3"/>
      <c r="T152" s="3"/>
      <c r="U152" s="3"/>
      <c r="V152" s="3">
        <v>237014.89183333339</v>
      </c>
      <c r="W152" s="22"/>
      <c r="Z152" s="27">
        <f t="shared" si="2"/>
        <v>1.5</v>
      </c>
    </row>
    <row r="153" spans="1:27" ht="23" customHeight="1">
      <c r="A153" s="3" t="s">
        <v>48</v>
      </c>
      <c r="B153" s="3" t="s">
        <v>372</v>
      </c>
      <c r="C153" s="3" t="s">
        <v>373</v>
      </c>
      <c r="D153" s="3" t="s">
        <v>22</v>
      </c>
      <c r="E153" s="3" t="s">
        <v>23</v>
      </c>
      <c r="F153" s="25"/>
      <c r="G153" s="3">
        <v>1</v>
      </c>
      <c r="H153" s="3">
        <v>3</v>
      </c>
      <c r="I153" s="3">
        <v>0</v>
      </c>
      <c r="J153" s="3">
        <v>3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8"/>
      <c r="Q153" s="18"/>
      <c r="R153" s="18"/>
      <c r="S153" s="3"/>
      <c r="T153" s="3">
        <v>0</v>
      </c>
      <c r="U153" s="3">
        <v>-1</v>
      </c>
      <c r="V153" s="3">
        <v>211768.75</v>
      </c>
      <c r="W153" s="22"/>
      <c r="Z153" s="27">
        <f t="shared" si="2"/>
        <v>3</v>
      </c>
    </row>
    <row r="154" spans="1:27" ht="23" customHeight="1">
      <c r="A154" s="3" t="s">
        <v>48</v>
      </c>
      <c r="B154" s="3" t="s">
        <v>374</v>
      </c>
      <c r="C154" s="3" t="s">
        <v>375</v>
      </c>
      <c r="D154" s="3" t="s">
        <v>22</v>
      </c>
      <c r="E154" s="3" t="s">
        <v>23</v>
      </c>
      <c r="F154" s="25"/>
      <c r="G154" s="3">
        <v>1</v>
      </c>
      <c r="H154" s="3">
        <v>2</v>
      </c>
      <c r="I154" s="3">
        <v>0</v>
      </c>
      <c r="J154" s="3">
        <v>2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8"/>
      <c r="Q154" s="18"/>
      <c r="R154" s="18"/>
      <c r="S154" s="3"/>
      <c r="T154" s="3"/>
      <c r="U154" s="3"/>
      <c r="V154" s="3"/>
      <c r="W154" s="22"/>
      <c r="Z154" s="27">
        <f t="shared" si="2"/>
        <v>2</v>
      </c>
    </row>
    <row r="155" spans="1:27" ht="23" customHeight="1">
      <c r="A155" s="3" t="s">
        <v>59</v>
      </c>
      <c r="B155" s="3" t="s">
        <v>376</v>
      </c>
      <c r="C155" s="3" t="s">
        <v>377</v>
      </c>
      <c r="D155" s="3" t="s">
        <v>22</v>
      </c>
      <c r="E155" s="3" t="s">
        <v>145</v>
      </c>
      <c r="F155" s="25"/>
      <c r="G155" s="3">
        <v>1</v>
      </c>
      <c r="H155" s="3">
        <v>2</v>
      </c>
      <c r="I155" s="3">
        <v>0</v>
      </c>
      <c r="J155" s="3">
        <v>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18"/>
      <c r="Q155" s="18"/>
      <c r="R155" s="18"/>
      <c r="S155" s="3"/>
      <c r="T155" s="3"/>
      <c r="U155" s="3"/>
      <c r="V155" s="3">
        <v>14621.09</v>
      </c>
      <c r="W155" s="22"/>
      <c r="Z155" s="27">
        <f t="shared" si="2"/>
        <v>2</v>
      </c>
    </row>
    <row r="156" spans="1:27" ht="20" customHeight="1">
      <c r="A156" s="3" t="s">
        <v>222</v>
      </c>
      <c r="B156" s="3" t="s">
        <v>378</v>
      </c>
      <c r="C156" s="3" t="s">
        <v>379</v>
      </c>
      <c r="D156" s="3" t="s">
        <v>22</v>
      </c>
      <c r="E156" s="3" t="s">
        <v>23</v>
      </c>
      <c r="F156" s="25"/>
      <c r="G156" s="3">
        <v>2</v>
      </c>
      <c r="H156" s="3">
        <v>7</v>
      </c>
      <c r="I156" s="3">
        <v>0</v>
      </c>
      <c r="J156" s="3">
        <v>5</v>
      </c>
      <c r="K156" s="3">
        <v>1</v>
      </c>
      <c r="L156" s="3">
        <v>0</v>
      </c>
      <c r="M156" s="3">
        <v>0</v>
      </c>
      <c r="N156" s="3">
        <v>0</v>
      </c>
      <c r="O156" s="3">
        <v>1</v>
      </c>
      <c r="P156" s="18"/>
      <c r="Q156" s="18"/>
      <c r="R156" s="18"/>
      <c r="S156" s="3"/>
      <c r="T156" s="3">
        <v>0</v>
      </c>
      <c r="U156" s="3">
        <v>-10</v>
      </c>
      <c r="V156" s="3"/>
      <c r="W156" s="22"/>
      <c r="Z156" s="27">
        <f t="shared" si="2"/>
        <v>2.5</v>
      </c>
    </row>
    <row r="157" spans="1:27" ht="20" customHeight="1">
      <c r="A157" s="3" t="s">
        <v>222</v>
      </c>
      <c r="B157" s="3" t="s">
        <v>380</v>
      </c>
      <c r="C157" s="3" t="s">
        <v>379</v>
      </c>
      <c r="D157" s="3" t="s">
        <v>22</v>
      </c>
      <c r="E157" s="3" t="s">
        <v>23</v>
      </c>
      <c r="F157" s="25"/>
      <c r="G157" s="3">
        <v>4</v>
      </c>
      <c r="H157" s="3">
        <v>30</v>
      </c>
      <c r="I157" s="3">
        <v>0</v>
      </c>
      <c r="J157" s="3">
        <v>30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18"/>
      <c r="Q157" s="18"/>
      <c r="R157" s="18"/>
      <c r="S157" s="3"/>
      <c r="T157" s="3">
        <v>0</v>
      </c>
      <c r="U157" s="3">
        <v>-26</v>
      </c>
      <c r="V157" s="3"/>
      <c r="W157" s="22"/>
      <c r="Z157" s="27">
        <f t="shared" si="2"/>
        <v>7.5</v>
      </c>
    </row>
    <row r="158" spans="1:27" ht="23" customHeight="1">
      <c r="A158" s="3" t="s">
        <v>213</v>
      </c>
      <c r="B158" s="3" t="s">
        <v>381</v>
      </c>
      <c r="C158" s="3" t="s">
        <v>382</v>
      </c>
      <c r="D158" s="3" t="s">
        <v>22</v>
      </c>
      <c r="E158" s="3" t="s">
        <v>23</v>
      </c>
      <c r="F158" s="25"/>
      <c r="G158" s="3">
        <v>4</v>
      </c>
      <c r="H158" s="3">
        <v>10</v>
      </c>
      <c r="I158" s="3">
        <v>0</v>
      </c>
      <c r="J158" s="3">
        <v>1</v>
      </c>
      <c r="K158" s="3">
        <v>0</v>
      </c>
      <c r="L158" s="3">
        <v>0</v>
      </c>
      <c r="M158" s="3">
        <v>0</v>
      </c>
      <c r="N158" s="3">
        <v>5</v>
      </c>
      <c r="O158" s="3">
        <v>4</v>
      </c>
      <c r="P158" s="18"/>
      <c r="Q158" s="18"/>
      <c r="R158" s="18"/>
      <c r="S158" s="3">
        <v>2</v>
      </c>
      <c r="T158" s="3">
        <v>-3</v>
      </c>
      <c r="U158" s="3">
        <v>-26</v>
      </c>
      <c r="V158" s="3"/>
      <c r="W158" s="22"/>
      <c r="Z158" s="27">
        <f t="shared" si="2"/>
        <v>0.25</v>
      </c>
      <c r="AA158" s="19">
        <v>1</v>
      </c>
    </row>
    <row r="159" spans="1:27" ht="23" customHeight="1">
      <c r="A159" s="3" t="s">
        <v>383</v>
      </c>
      <c r="B159" s="3" t="s">
        <v>384</v>
      </c>
      <c r="C159" s="3" t="s">
        <v>385</v>
      </c>
      <c r="D159" s="3" t="s">
        <v>22</v>
      </c>
      <c r="E159" s="3" t="s">
        <v>23</v>
      </c>
      <c r="F159" s="25"/>
      <c r="G159" s="3">
        <v>1</v>
      </c>
      <c r="H159" s="3">
        <v>6</v>
      </c>
      <c r="I159" s="3">
        <v>0</v>
      </c>
      <c r="J159" s="3">
        <v>5</v>
      </c>
      <c r="K159" s="3">
        <v>1</v>
      </c>
      <c r="L159" s="3">
        <v>1</v>
      </c>
      <c r="M159" s="3">
        <v>0</v>
      </c>
      <c r="N159" s="3">
        <v>0</v>
      </c>
      <c r="O159" s="3">
        <v>0</v>
      </c>
      <c r="P159" s="18"/>
      <c r="Q159" s="18"/>
      <c r="R159" s="18"/>
      <c r="S159" s="3"/>
      <c r="T159" s="3">
        <v>-1</v>
      </c>
      <c r="U159" s="3">
        <v>-6</v>
      </c>
      <c r="V159" s="3"/>
      <c r="W159" s="22"/>
      <c r="Z159" s="27">
        <f t="shared" si="2"/>
        <v>5</v>
      </c>
    </row>
    <row r="160" spans="1:27" ht="23" customHeight="1">
      <c r="A160" s="3" t="s">
        <v>386</v>
      </c>
      <c r="B160" s="3" t="s">
        <v>387</v>
      </c>
      <c r="C160" s="3" t="s">
        <v>388</v>
      </c>
      <c r="D160" s="3" t="s">
        <v>22</v>
      </c>
      <c r="E160" s="3" t="s">
        <v>23</v>
      </c>
      <c r="F160" s="25"/>
      <c r="G160" s="3">
        <v>1</v>
      </c>
      <c r="H160" s="3">
        <v>3</v>
      </c>
      <c r="I160" s="3">
        <v>0</v>
      </c>
      <c r="J160" s="3">
        <v>2</v>
      </c>
      <c r="K160" s="3">
        <v>0</v>
      </c>
      <c r="L160" s="3">
        <v>0</v>
      </c>
      <c r="M160" s="3">
        <v>0</v>
      </c>
      <c r="N160" s="3">
        <v>0</v>
      </c>
      <c r="O160" s="3">
        <v>1</v>
      </c>
      <c r="P160" s="18"/>
      <c r="Q160" s="18"/>
      <c r="R160" s="18"/>
      <c r="S160" s="3"/>
      <c r="T160" s="3"/>
      <c r="U160" s="3"/>
      <c r="V160" s="3">
        <v>152547.005</v>
      </c>
      <c r="W160" s="22"/>
      <c r="Z160" s="27">
        <f t="shared" si="2"/>
        <v>2</v>
      </c>
    </row>
    <row r="161" spans="1:27" ht="20" customHeight="1">
      <c r="A161" s="3" t="s">
        <v>389</v>
      </c>
      <c r="B161" s="3" t="s">
        <v>390</v>
      </c>
      <c r="C161" s="3" t="s">
        <v>391</v>
      </c>
      <c r="D161" s="3" t="s">
        <v>22</v>
      </c>
      <c r="E161" s="3" t="s">
        <v>23</v>
      </c>
      <c r="F161" s="25"/>
      <c r="G161" s="3">
        <v>2</v>
      </c>
      <c r="H161" s="3">
        <v>4</v>
      </c>
      <c r="I161" s="3">
        <v>0</v>
      </c>
      <c r="J161" s="3">
        <v>3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18"/>
      <c r="Q161" s="18"/>
      <c r="R161" s="18"/>
      <c r="S161" s="3"/>
      <c r="T161" s="3">
        <v>0</v>
      </c>
      <c r="U161" s="3">
        <v>-3</v>
      </c>
      <c r="V161" s="3">
        <v>8823318</v>
      </c>
      <c r="W161" s="22"/>
      <c r="Z161" s="27">
        <f t="shared" si="2"/>
        <v>1.5</v>
      </c>
    </row>
    <row r="162" spans="1:27" ht="23" customHeight="1">
      <c r="A162" s="3" t="s">
        <v>392</v>
      </c>
      <c r="B162" s="3" t="s">
        <v>393</v>
      </c>
      <c r="C162" s="3" t="s">
        <v>394</v>
      </c>
      <c r="D162" s="3" t="s">
        <v>22</v>
      </c>
      <c r="E162" s="3" t="s">
        <v>23</v>
      </c>
      <c r="F162" s="25"/>
      <c r="G162" s="3">
        <v>1</v>
      </c>
      <c r="H162" s="3">
        <v>1</v>
      </c>
      <c r="I162" s="3">
        <v>0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8"/>
      <c r="Q162" s="18"/>
      <c r="R162" s="18"/>
      <c r="S162" s="3"/>
      <c r="T162" s="3"/>
      <c r="U162" s="3"/>
      <c r="V162" s="3">
        <v>0</v>
      </c>
      <c r="W162" s="22"/>
      <c r="Z162" s="27">
        <f t="shared" si="2"/>
        <v>1</v>
      </c>
    </row>
    <row r="163" spans="1:27" ht="23" customHeight="1">
      <c r="A163" s="3" t="s">
        <v>395</v>
      </c>
      <c r="B163" s="3" t="s">
        <v>396</v>
      </c>
      <c r="C163" s="3" t="s">
        <v>397</v>
      </c>
      <c r="D163" s="3" t="s">
        <v>22</v>
      </c>
      <c r="E163" s="3" t="s">
        <v>23</v>
      </c>
      <c r="F163" s="25" t="s">
        <v>146</v>
      </c>
      <c r="G163" s="3">
        <v>2</v>
      </c>
      <c r="H163" s="3">
        <v>12</v>
      </c>
      <c r="I163" s="3">
        <v>0</v>
      </c>
      <c r="J163" s="3">
        <v>5</v>
      </c>
      <c r="K163" s="3">
        <v>0</v>
      </c>
      <c r="L163" s="3">
        <v>0</v>
      </c>
      <c r="M163" s="3">
        <v>0</v>
      </c>
      <c r="N163" s="3">
        <v>4</v>
      </c>
      <c r="O163" s="3">
        <v>3</v>
      </c>
      <c r="P163" s="18"/>
      <c r="Q163" s="18"/>
      <c r="R163" s="18"/>
      <c r="S163" s="3"/>
      <c r="T163" s="3">
        <v>0</v>
      </c>
      <c r="U163" s="3">
        <v>-9</v>
      </c>
      <c r="V163" s="3"/>
      <c r="W163" s="22"/>
      <c r="Z163" s="27">
        <f t="shared" si="2"/>
        <v>2.5</v>
      </c>
    </row>
    <row r="164" spans="1:27" ht="23" customHeight="1">
      <c r="A164" s="3" t="s">
        <v>395</v>
      </c>
      <c r="B164" s="3" t="s">
        <v>398</v>
      </c>
      <c r="C164" s="3" t="s">
        <v>397</v>
      </c>
      <c r="D164" s="3" t="s">
        <v>22</v>
      </c>
      <c r="E164" s="3" t="s">
        <v>145</v>
      </c>
      <c r="F164" s="25" t="s">
        <v>146</v>
      </c>
      <c r="G164" s="3">
        <v>2</v>
      </c>
      <c r="H164" s="3">
        <v>6</v>
      </c>
      <c r="I164" s="3">
        <v>0</v>
      </c>
      <c r="J164" s="3">
        <v>2</v>
      </c>
      <c r="K164" s="3">
        <v>0</v>
      </c>
      <c r="L164" s="3">
        <v>0</v>
      </c>
      <c r="M164" s="3">
        <v>0</v>
      </c>
      <c r="N164" s="3">
        <v>2</v>
      </c>
      <c r="O164" s="3">
        <v>2</v>
      </c>
      <c r="P164" s="18"/>
      <c r="Q164" s="18"/>
      <c r="R164" s="18"/>
      <c r="S164" s="3"/>
      <c r="T164" s="3">
        <v>0</v>
      </c>
      <c r="U164" s="3">
        <v>-7</v>
      </c>
      <c r="V164" s="3"/>
      <c r="W164" s="22"/>
      <c r="Z164" s="27">
        <f t="shared" si="2"/>
        <v>1</v>
      </c>
    </row>
    <row r="165" spans="1:27" ht="23" customHeight="1">
      <c r="A165" s="3" t="s">
        <v>293</v>
      </c>
      <c r="B165" s="3" t="s">
        <v>399</v>
      </c>
      <c r="C165" s="3" t="s">
        <v>400</v>
      </c>
      <c r="D165" s="3" t="s">
        <v>22</v>
      </c>
      <c r="E165" s="3" t="s">
        <v>23</v>
      </c>
      <c r="F165" s="25"/>
      <c r="G165" s="3">
        <v>3</v>
      </c>
      <c r="H165" s="3">
        <v>12</v>
      </c>
      <c r="I165" s="3">
        <v>0</v>
      </c>
      <c r="J165" s="3">
        <v>8</v>
      </c>
      <c r="K165" s="3">
        <v>0</v>
      </c>
      <c r="L165" s="3">
        <v>0</v>
      </c>
      <c r="M165" s="3">
        <v>0</v>
      </c>
      <c r="N165" s="3">
        <v>0</v>
      </c>
      <c r="O165" s="3">
        <v>4</v>
      </c>
      <c r="P165" s="18"/>
      <c r="Q165" s="18"/>
      <c r="R165" s="18"/>
      <c r="S165" s="3">
        <v>1</v>
      </c>
      <c r="T165" s="3">
        <v>0</v>
      </c>
      <c r="U165" s="3">
        <v>-6</v>
      </c>
      <c r="V165" s="3"/>
      <c r="W165" s="22"/>
      <c r="Z165" s="27">
        <f t="shared" si="2"/>
        <v>2.6666666666666665</v>
      </c>
    </row>
    <row r="166" spans="1:27" ht="23" customHeight="1">
      <c r="A166" s="3" t="s">
        <v>293</v>
      </c>
      <c r="B166" s="3" t="s">
        <v>401</v>
      </c>
      <c r="C166" s="3" t="s">
        <v>402</v>
      </c>
      <c r="D166" s="3" t="s">
        <v>22</v>
      </c>
      <c r="E166" s="3" t="s">
        <v>23</v>
      </c>
      <c r="F166" s="25"/>
      <c r="G166" s="3">
        <v>2</v>
      </c>
      <c r="H166" s="3">
        <v>7</v>
      </c>
      <c r="I166" s="3">
        <v>0</v>
      </c>
      <c r="J166" s="3">
        <v>5</v>
      </c>
      <c r="K166" s="3">
        <v>0</v>
      </c>
      <c r="L166" s="3">
        <v>0</v>
      </c>
      <c r="M166" s="3">
        <v>0</v>
      </c>
      <c r="N166" s="3">
        <v>0</v>
      </c>
      <c r="O166" s="3">
        <v>2</v>
      </c>
      <c r="P166" s="18"/>
      <c r="Q166" s="18"/>
      <c r="R166" s="18"/>
      <c r="S166" s="3">
        <v>1</v>
      </c>
      <c r="T166" s="3">
        <v>0</v>
      </c>
      <c r="U166" s="3">
        <v>-3</v>
      </c>
      <c r="V166" s="3">
        <v>2570254.585</v>
      </c>
      <c r="W166" s="22"/>
      <c r="Z166" s="27">
        <f t="shared" si="2"/>
        <v>2.5</v>
      </c>
    </row>
    <row r="167" spans="1:27" ht="23" customHeight="1">
      <c r="A167" s="3" t="s">
        <v>152</v>
      </c>
      <c r="B167" s="3" t="s">
        <v>403</v>
      </c>
      <c r="C167" s="3" t="s">
        <v>404</v>
      </c>
      <c r="D167" s="3" t="s">
        <v>22</v>
      </c>
      <c r="E167" s="3" t="s">
        <v>23</v>
      </c>
      <c r="F167" s="25"/>
      <c r="G167" s="3">
        <v>1</v>
      </c>
      <c r="H167" s="3">
        <v>4</v>
      </c>
      <c r="I167" s="3">
        <v>0</v>
      </c>
      <c r="J167" s="3">
        <v>4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8"/>
      <c r="Q167" s="18"/>
      <c r="R167" s="18"/>
      <c r="S167" s="3"/>
      <c r="T167" s="3">
        <v>0</v>
      </c>
      <c r="U167" s="3">
        <v>-1</v>
      </c>
      <c r="V167" s="3">
        <v>363939.6</v>
      </c>
      <c r="W167" s="22"/>
      <c r="Z167" s="27">
        <f t="shared" si="2"/>
        <v>4</v>
      </c>
    </row>
    <row r="168" spans="1:27" ht="20" customHeight="1">
      <c r="A168" s="3" t="s">
        <v>405</v>
      </c>
      <c r="B168" s="3" t="s">
        <v>406</v>
      </c>
      <c r="C168" s="3" t="s">
        <v>407</v>
      </c>
      <c r="D168" s="3" t="s">
        <v>30</v>
      </c>
      <c r="E168" s="3" t="s">
        <v>23</v>
      </c>
      <c r="F168" s="25"/>
      <c r="G168" s="3">
        <v>1</v>
      </c>
      <c r="H168" s="3">
        <v>3</v>
      </c>
      <c r="I168" s="3">
        <v>0</v>
      </c>
      <c r="J168" s="3">
        <v>1</v>
      </c>
      <c r="K168" s="3">
        <v>0</v>
      </c>
      <c r="L168" s="3">
        <v>0</v>
      </c>
      <c r="M168" s="3">
        <v>0</v>
      </c>
      <c r="N168" s="3">
        <v>0</v>
      </c>
      <c r="O168" s="3">
        <v>2</v>
      </c>
      <c r="P168" s="18"/>
      <c r="Q168" s="18"/>
      <c r="R168" s="18"/>
      <c r="S168" s="3"/>
      <c r="T168" s="3">
        <v>-1</v>
      </c>
      <c r="U168" s="3">
        <v>-3</v>
      </c>
      <c r="V168" s="3">
        <v>68463.05</v>
      </c>
      <c r="W168" s="22"/>
      <c r="Z168" s="27">
        <f t="shared" si="2"/>
        <v>1</v>
      </c>
    </row>
    <row r="169" spans="1:27" ht="34" customHeight="1">
      <c r="A169" s="3" t="s">
        <v>152</v>
      </c>
      <c r="B169" s="3" t="s">
        <v>408</v>
      </c>
      <c r="C169" s="3" t="s">
        <v>409</v>
      </c>
      <c r="D169" s="3" t="s">
        <v>22</v>
      </c>
      <c r="E169" s="3" t="s">
        <v>23</v>
      </c>
      <c r="F169" s="25"/>
      <c r="G169" s="3">
        <v>1</v>
      </c>
      <c r="H169" s="3">
        <v>3</v>
      </c>
      <c r="I169" s="3">
        <v>0</v>
      </c>
      <c r="J169" s="3">
        <v>3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8"/>
      <c r="Q169" s="18"/>
      <c r="R169" s="18"/>
      <c r="S169" s="3"/>
      <c r="T169" s="3">
        <v>0</v>
      </c>
      <c r="U169" s="3">
        <v>-1</v>
      </c>
      <c r="V169" s="3">
        <v>0</v>
      </c>
      <c r="W169" s="22"/>
      <c r="Z169" s="27">
        <f t="shared" si="2"/>
        <v>3</v>
      </c>
    </row>
    <row r="170" spans="1:27" ht="23" customHeight="1">
      <c r="A170" s="3" t="s">
        <v>160</v>
      </c>
      <c r="B170" s="3" t="s">
        <v>410</v>
      </c>
      <c r="C170" s="3" t="s">
        <v>411</v>
      </c>
      <c r="D170" s="3" t="s">
        <v>22</v>
      </c>
      <c r="E170" s="3" t="s">
        <v>23</v>
      </c>
      <c r="F170" s="25"/>
      <c r="G170" s="3">
        <v>4</v>
      </c>
      <c r="H170" s="3">
        <v>20</v>
      </c>
      <c r="I170" s="3">
        <v>0</v>
      </c>
      <c r="J170" s="3">
        <v>10</v>
      </c>
      <c r="K170" s="3">
        <v>0</v>
      </c>
      <c r="L170" s="3">
        <v>0</v>
      </c>
      <c r="M170" s="3">
        <v>0</v>
      </c>
      <c r="N170" s="3">
        <v>0</v>
      </c>
      <c r="O170" s="3">
        <v>10</v>
      </c>
      <c r="P170" s="18"/>
      <c r="Q170" s="18"/>
      <c r="R170" s="18"/>
      <c r="S170" s="3">
        <v>1</v>
      </c>
      <c r="T170" s="3">
        <v>-2</v>
      </c>
      <c r="U170" s="3">
        <v>-35</v>
      </c>
      <c r="V170" s="3">
        <v>622185.82600740006</v>
      </c>
      <c r="W170" s="22"/>
      <c r="Z170" s="27">
        <f t="shared" si="2"/>
        <v>2.5</v>
      </c>
    </row>
    <row r="171" spans="1:27" ht="23" customHeight="1">
      <c r="A171" s="3" t="s">
        <v>257</v>
      </c>
      <c r="B171" s="3" t="s">
        <v>412</v>
      </c>
      <c r="C171" s="3" t="s">
        <v>259</v>
      </c>
      <c r="D171" s="3" t="s">
        <v>22</v>
      </c>
      <c r="E171" s="3" t="s">
        <v>23</v>
      </c>
      <c r="F171" s="25"/>
      <c r="G171" s="3">
        <v>1</v>
      </c>
      <c r="H171" s="3">
        <v>1</v>
      </c>
      <c r="I171" s="3">
        <v>0</v>
      </c>
      <c r="J171" s="3">
        <v>1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8"/>
      <c r="Q171" s="18"/>
      <c r="R171" s="18"/>
      <c r="S171" s="3"/>
      <c r="T171" s="3"/>
      <c r="U171" s="3"/>
      <c r="V171" s="3">
        <v>77110.25</v>
      </c>
      <c r="W171" s="22"/>
      <c r="Z171" s="27">
        <f t="shared" si="2"/>
        <v>1</v>
      </c>
    </row>
    <row r="172" spans="1:27" ht="23" customHeight="1">
      <c r="A172" s="3" t="s">
        <v>257</v>
      </c>
      <c r="B172" s="3" t="s">
        <v>413</v>
      </c>
      <c r="C172" s="3" t="s">
        <v>259</v>
      </c>
      <c r="D172" s="3" t="s">
        <v>22</v>
      </c>
      <c r="E172" s="3" t="s">
        <v>23</v>
      </c>
      <c r="F172" s="25"/>
      <c r="G172" s="3">
        <v>1</v>
      </c>
      <c r="H172" s="3">
        <v>1</v>
      </c>
      <c r="I172" s="3">
        <v>0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8"/>
      <c r="Q172" s="18"/>
      <c r="R172" s="18"/>
      <c r="S172" s="3"/>
      <c r="T172" s="3"/>
      <c r="U172" s="3"/>
      <c r="V172" s="3">
        <v>241084.45699999999</v>
      </c>
      <c r="W172" s="22"/>
      <c r="Z172" s="27">
        <f t="shared" si="2"/>
        <v>1</v>
      </c>
    </row>
    <row r="173" spans="1:27" ht="34" customHeight="1">
      <c r="A173" s="3" t="s">
        <v>257</v>
      </c>
      <c r="B173" s="3" t="s">
        <v>414</v>
      </c>
      <c r="C173" s="3" t="s">
        <v>415</v>
      </c>
      <c r="D173" s="3" t="s">
        <v>22</v>
      </c>
      <c r="E173" s="3" t="s">
        <v>23</v>
      </c>
      <c r="F173" s="25"/>
      <c r="G173" s="3">
        <v>1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</v>
      </c>
      <c r="O173" s="3">
        <v>0</v>
      </c>
      <c r="P173" s="18"/>
      <c r="Q173" s="18"/>
      <c r="R173" s="18"/>
      <c r="S173" s="3">
        <v>1</v>
      </c>
      <c r="T173" s="3">
        <v>0</v>
      </c>
      <c r="U173" s="3">
        <v>-1</v>
      </c>
      <c r="V173" s="3">
        <v>122756.97</v>
      </c>
      <c r="W173" s="22"/>
      <c r="Z173" s="27">
        <f t="shared" si="2"/>
        <v>0</v>
      </c>
      <c r="AA173" s="19">
        <v>1</v>
      </c>
    </row>
    <row r="174" spans="1:27" ht="23" customHeight="1">
      <c r="A174" s="3" t="s">
        <v>257</v>
      </c>
      <c r="B174" s="3" t="s">
        <v>416</v>
      </c>
      <c r="C174" s="3" t="s">
        <v>259</v>
      </c>
      <c r="D174" s="3" t="s">
        <v>22</v>
      </c>
      <c r="E174" s="3" t="s">
        <v>23</v>
      </c>
      <c r="F174" s="25"/>
      <c r="G174" s="3">
        <v>1</v>
      </c>
      <c r="H174" s="3">
        <v>4</v>
      </c>
      <c r="I174" s="3">
        <v>0</v>
      </c>
      <c r="J174" s="3">
        <v>3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18"/>
      <c r="Q174" s="18"/>
      <c r="R174" s="18"/>
      <c r="S174" s="3"/>
      <c r="T174" s="3"/>
      <c r="U174" s="3"/>
      <c r="V174" s="3"/>
      <c r="W174" s="22"/>
      <c r="Z174" s="27">
        <f t="shared" si="2"/>
        <v>3</v>
      </c>
    </row>
    <row r="175" spans="1:27" ht="23" customHeight="1">
      <c r="A175" s="3" t="s">
        <v>257</v>
      </c>
      <c r="B175" s="3" t="s">
        <v>417</v>
      </c>
      <c r="C175" s="3" t="s">
        <v>418</v>
      </c>
      <c r="D175" s="3" t="s">
        <v>22</v>
      </c>
      <c r="E175" s="3" t="s">
        <v>23</v>
      </c>
      <c r="F175" s="25"/>
      <c r="G175" s="3">
        <v>1</v>
      </c>
      <c r="H175" s="3">
        <v>2</v>
      </c>
      <c r="I175" s="3">
        <v>0</v>
      </c>
      <c r="J175" s="3">
        <v>2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8"/>
      <c r="Q175" s="18"/>
      <c r="R175" s="18"/>
      <c r="S175" s="3"/>
      <c r="T175" s="3"/>
      <c r="U175" s="3"/>
      <c r="V175" s="3">
        <v>556099.81940000004</v>
      </c>
      <c r="W175" s="22"/>
      <c r="Z175" s="27">
        <f t="shared" si="2"/>
        <v>2</v>
      </c>
    </row>
    <row r="176" spans="1:27" ht="23" customHeight="1">
      <c r="A176" s="3" t="s">
        <v>419</v>
      </c>
      <c r="B176" s="3" t="s">
        <v>420</v>
      </c>
      <c r="C176" s="3" t="s">
        <v>421</v>
      </c>
      <c r="D176" s="3" t="s">
        <v>22</v>
      </c>
      <c r="E176" s="3" t="s">
        <v>23</v>
      </c>
      <c r="F176" s="25"/>
      <c r="G176" s="3">
        <v>1</v>
      </c>
      <c r="H176" s="3">
        <v>2</v>
      </c>
      <c r="I176" s="3">
        <v>0</v>
      </c>
      <c r="J176" s="3">
        <v>1</v>
      </c>
      <c r="K176" s="3">
        <v>0</v>
      </c>
      <c r="L176" s="3">
        <v>0</v>
      </c>
      <c r="M176" s="3">
        <v>0</v>
      </c>
      <c r="N176" s="3">
        <v>1</v>
      </c>
      <c r="O176" s="3">
        <v>0</v>
      </c>
      <c r="P176" s="18"/>
      <c r="Q176" s="18"/>
      <c r="R176" s="18"/>
      <c r="S176" s="3"/>
      <c r="T176" s="3">
        <v>0</v>
      </c>
      <c r="U176" s="3">
        <v>-1</v>
      </c>
      <c r="V176" s="3">
        <v>216337.38</v>
      </c>
      <c r="W176" s="22"/>
      <c r="Z176" s="27">
        <f t="shared" si="2"/>
        <v>1</v>
      </c>
    </row>
    <row r="177" spans="1:27" ht="23" customHeight="1">
      <c r="A177" s="3" t="s">
        <v>422</v>
      </c>
      <c r="B177" s="3" t="s">
        <v>423</v>
      </c>
      <c r="C177" s="3" t="s">
        <v>424</v>
      </c>
      <c r="D177" s="3" t="s">
        <v>22</v>
      </c>
      <c r="E177" s="3" t="s">
        <v>23</v>
      </c>
      <c r="F177" s="25"/>
      <c r="G177" s="3">
        <v>1</v>
      </c>
      <c r="H177" s="3">
        <v>3</v>
      </c>
      <c r="I177" s="3">
        <v>0</v>
      </c>
      <c r="J177" s="3">
        <v>2</v>
      </c>
      <c r="K177" s="3">
        <v>0</v>
      </c>
      <c r="L177" s="3">
        <v>0</v>
      </c>
      <c r="M177" s="3">
        <v>0</v>
      </c>
      <c r="N177" s="3">
        <v>0</v>
      </c>
      <c r="O177" s="3">
        <v>1</v>
      </c>
      <c r="P177" s="18"/>
      <c r="Q177" s="18"/>
      <c r="R177" s="18"/>
      <c r="S177" s="3"/>
      <c r="T177" s="3">
        <v>0</v>
      </c>
      <c r="U177" s="3">
        <v>-1</v>
      </c>
      <c r="V177" s="3">
        <v>450656.63125000003</v>
      </c>
      <c r="W177" s="22"/>
      <c r="Z177" s="27">
        <f t="shared" si="2"/>
        <v>2</v>
      </c>
    </row>
    <row r="178" spans="1:27" ht="23" customHeight="1">
      <c r="A178" s="3" t="s">
        <v>36</v>
      </c>
      <c r="B178" s="3" t="s">
        <v>425</v>
      </c>
      <c r="C178" s="3" t="s">
        <v>426</v>
      </c>
      <c r="D178" s="3" t="s">
        <v>22</v>
      </c>
      <c r="E178" s="3" t="s">
        <v>23</v>
      </c>
      <c r="F178" s="25"/>
      <c r="G178" s="3">
        <v>2</v>
      </c>
      <c r="H178" s="3">
        <v>2</v>
      </c>
      <c r="I178" s="3">
        <v>0</v>
      </c>
      <c r="J178" s="3">
        <v>2</v>
      </c>
      <c r="K178" s="3">
        <v>0</v>
      </c>
      <c r="L178" s="3">
        <v>1</v>
      </c>
      <c r="M178" s="3">
        <v>0</v>
      </c>
      <c r="N178" s="3">
        <v>0</v>
      </c>
      <c r="O178" s="3">
        <v>0</v>
      </c>
      <c r="P178" s="18"/>
      <c r="Q178" s="18"/>
      <c r="R178" s="18"/>
      <c r="S178" s="3"/>
      <c r="T178" s="3">
        <v>-1</v>
      </c>
      <c r="U178" s="3">
        <v>-10</v>
      </c>
      <c r="V178" s="3">
        <v>300029.56799999997</v>
      </c>
      <c r="W178" s="22"/>
      <c r="Z178" s="27">
        <f t="shared" si="2"/>
        <v>1</v>
      </c>
    </row>
    <row r="179" spans="1:27" ht="23" customHeight="1">
      <c r="A179" s="3" t="s">
        <v>427</v>
      </c>
      <c r="B179" s="3" t="s">
        <v>428</v>
      </c>
      <c r="C179" s="3" t="s">
        <v>429</v>
      </c>
      <c r="D179" s="3" t="s">
        <v>22</v>
      </c>
      <c r="E179" s="3" t="s">
        <v>23</v>
      </c>
      <c r="F179" s="25"/>
      <c r="G179" s="3">
        <v>2</v>
      </c>
      <c r="H179" s="3">
        <v>4</v>
      </c>
      <c r="I179" s="3">
        <v>0</v>
      </c>
      <c r="J179" s="3">
        <v>3</v>
      </c>
      <c r="K179" s="3">
        <v>1</v>
      </c>
      <c r="L179" s="3">
        <v>0</v>
      </c>
      <c r="M179" s="3">
        <v>1</v>
      </c>
      <c r="N179" s="3">
        <v>0</v>
      </c>
      <c r="O179" s="3">
        <v>0</v>
      </c>
      <c r="P179" s="18"/>
      <c r="Q179" s="18"/>
      <c r="R179" s="18"/>
      <c r="S179" s="3"/>
      <c r="T179" s="3">
        <v>0</v>
      </c>
      <c r="U179" s="3">
        <v>-9</v>
      </c>
      <c r="V179" s="3">
        <v>65681.191492439291</v>
      </c>
      <c r="W179" s="22"/>
      <c r="Z179" s="27">
        <f t="shared" si="2"/>
        <v>1.5</v>
      </c>
    </row>
    <row r="180" spans="1:27" ht="23" customHeight="1">
      <c r="A180" s="3" t="s">
        <v>389</v>
      </c>
      <c r="B180" s="3" t="s">
        <v>430</v>
      </c>
      <c r="C180" s="3" t="s">
        <v>431</v>
      </c>
      <c r="D180" s="3" t="s">
        <v>22</v>
      </c>
      <c r="E180" s="3" t="s">
        <v>23</v>
      </c>
      <c r="F180" s="25"/>
      <c r="G180" s="3">
        <v>3</v>
      </c>
      <c r="H180" s="3">
        <v>13</v>
      </c>
      <c r="I180" s="3">
        <v>0</v>
      </c>
      <c r="J180" s="3">
        <v>12</v>
      </c>
      <c r="K180" s="3">
        <v>0</v>
      </c>
      <c r="L180" s="3">
        <v>0</v>
      </c>
      <c r="M180" s="3">
        <v>0</v>
      </c>
      <c r="N180" s="3">
        <v>0</v>
      </c>
      <c r="O180" s="3">
        <v>1</v>
      </c>
      <c r="P180" s="18"/>
      <c r="Q180" s="18"/>
      <c r="R180" s="18"/>
      <c r="S180" s="3"/>
      <c r="T180" s="3">
        <v>-1</v>
      </c>
      <c r="U180" s="3">
        <v>-10</v>
      </c>
      <c r="V180" s="3"/>
      <c r="W180" s="22"/>
      <c r="Z180" s="27">
        <f t="shared" si="2"/>
        <v>4</v>
      </c>
    </row>
    <row r="181" spans="1:27" ht="23" customHeight="1">
      <c r="A181" s="3" t="s">
        <v>75</v>
      </c>
      <c r="B181" s="3" t="s">
        <v>432</v>
      </c>
      <c r="C181" s="3" t="s">
        <v>433</v>
      </c>
      <c r="D181" s="3" t="s">
        <v>22</v>
      </c>
      <c r="E181" s="3" t="s">
        <v>23</v>
      </c>
      <c r="F181" s="25"/>
      <c r="G181" s="3">
        <v>2</v>
      </c>
      <c r="H181" s="3">
        <v>7</v>
      </c>
      <c r="I181" s="3">
        <v>0</v>
      </c>
      <c r="J181" s="3">
        <v>6</v>
      </c>
      <c r="K181" s="3">
        <v>0</v>
      </c>
      <c r="L181" s="3">
        <v>0</v>
      </c>
      <c r="M181" s="3">
        <v>0</v>
      </c>
      <c r="N181" s="3">
        <v>0</v>
      </c>
      <c r="O181" s="3">
        <v>1</v>
      </c>
      <c r="P181" s="18"/>
      <c r="Q181" s="18"/>
      <c r="R181" s="18"/>
      <c r="S181" s="3">
        <v>1</v>
      </c>
      <c r="T181" s="3">
        <v>-1</v>
      </c>
      <c r="U181" s="3">
        <v>-14</v>
      </c>
      <c r="V181" s="3">
        <v>99643.31</v>
      </c>
      <c r="W181" s="22"/>
      <c r="Z181" s="27">
        <f t="shared" si="2"/>
        <v>3</v>
      </c>
    </row>
    <row r="182" spans="1:27" ht="20" customHeight="1">
      <c r="A182" s="3" t="s">
        <v>434</v>
      </c>
      <c r="B182" s="3" t="s">
        <v>435</v>
      </c>
      <c r="C182" s="3" t="s">
        <v>436</v>
      </c>
      <c r="D182" s="3" t="s">
        <v>22</v>
      </c>
      <c r="E182" s="3" t="s">
        <v>23</v>
      </c>
      <c r="F182" s="25"/>
      <c r="G182" s="3">
        <v>1</v>
      </c>
      <c r="H182" s="3">
        <v>1</v>
      </c>
      <c r="I182" s="3">
        <v>0</v>
      </c>
      <c r="J182" s="3">
        <v>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8"/>
      <c r="Q182" s="18"/>
      <c r="R182" s="18"/>
      <c r="S182" s="3"/>
      <c r="T182" s="3"/>
      <c r="U182" s="3"/>
      <c r="V182" s="3"/>
      <c r="W182" s="22"/>
      <c r="Z182" s="27">
        <f t="shared" si="2"/>
        <v>1</v>
      </c>
    </row>
    <row r="183" spans="1:27" ht="20" customHeight="1">
      <c r="A183" s="3" t="s">
        <v>437</v>
      </c>
      <c r="B183" s="3" t="s">
        <v>438</v>
      </c>
      <c r="C183" s="3" t="s">
        <v>439</v>
      </c>
      <c r="D183" s="3" t="s">
        <v>30</v>
      </c>
      <c r="E183" s="3" t="s">
        <v>23</v>
      </c>
      <c r="F183" s="25"/>
      <c r="G183" s="3">
        <v>1</v>
      </c>
      <c r="H183" s="3">
        <v>2</v>
      </c>
      <c r="I183" s="3">
        <v>0</v>
      </c>
      <c r="J183" s="3">
        <v>2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8"/>
      <c r="Q183" s="18"/>
      <c r="R183" s="18"/>
      <c r="S183" s="3"/>
      <c r="T183" s="3">
        <v>0</v>
      </c>
      <c r="U183" s="3">
        <v>0</v>
      </c>
      <c r="V183" s="3">
        <v>57503.35</v>
      </c>
      <c r="W183" s="22"/>
      <c r="Z183" s="27">
        <f t="shared" si="2"/>
        <v>2</v>
      </c>
    </row>
    <row r="184" spans="1:27" ht="23" customHeight="1">
      <c r="A184" s="3" t="s">
        <v>160</v>
      </c>
      <c r="B184" s="3" t="s">
        <v>440</v>
      </c>
      <c r="C184" s="3" t="s">
        <v>441</v>
      </c>
      <c r="D184" s="3" t="s">
        <v>22</v>
      </c>
      <c r="E184" s="3" t="s">
        <v>91</v>
      </c>
      <c r="F184" s="25"/>
      <c r="G184" s="3">
        <v>1</v>
      </c>
      <c r="H184" s="3">
        <v>12</v>
      </c>
      <c r="I184" s="3">
        <v>0</v>
      </c>
      <c r="J184" s="3">
        <v>11</v>
      </c>
      <c r="K184" s="3">
        <v>0</v>
      </c>
      <c r="L184" s="3">
        <v>0</v>
      </c>
      <c r="M184" s="3">
        <v>0</v>
      </c>
      <c r="N184" s="3">
        <v>1</v>
      </c>
      <c r="O184" s="3">
        <v>0</v>
      </c>
      <c r="P184" s="18"/>
      <c r="Q184" s="18"/>
      <c r="R184" s="18"/>
      <c r="S184" s="3"/>
      <c r="T184" s="3">
        <v>0</v>
      </c>
      <c r="U184" s="3">
        <v>-1</v>
      </c>
      <c r="V184" s="3">
        <v>566973.43999999994</v>
      </c>
      <c r="W184" s="22"/>
      <c r="Z184" s="27">
        <f t="shared" si="2"/>
        <v>11</v>
      </c>
    </row>
    <row r="185" spans="1:27" ht="23" customHeight="1">
      <c r="A185" s="3" t="s">
        <v>121</v>
      </c>
      <c r="B185" s="3" t="s">
        <v>442</v>
      </c>
      <c r="C185" s="3" t="s">
        <v>443</v>
      </c>
      <c r="D185" s="3" t="s">
        <v>22</v>
      </c>
      <c r="E185" s="3" t="s">
        <v>23</v>
      </c>
      <c r="F185" s="25"/>
      <c r="G185" s="3">
        <v>1</v>
      </c>
      <c r="H185" s="3">
        <v>1</v>
      </c>
      <c r="I185" s="3">
        <v>0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8"/>
      <c r="Q185" s="18"/>
      <c r="R185" s="18"/>
      <c r="S185" s="3"/>
      <c r="T185" s="3"/>
      <c r="U185" s="3"/>
      <c r="V185" s="3">
        <v>0</v>
      </c>
      <c r="W185" s="22"/>
      <c r="Z185" s="27">
        <f t="shared" si="2"/>
        <v>1</v>
      </c>
    </row>
    <row r="186" spans="1:27" ht="20" customHeight="1">
      <c r="A186" s="3" t="s">
        <v>444</v>
      </c>
      <c r="B186" s="3" t="s">
        <v>445</v>
      </c>
      <c r="C186" s="3" t="s">
        <v>446</v>
      </c>
      <c r="D186" s="3" t="s">
        <v>22</v>
      </c>
      <c r="E186" s="3" t="s">
        <v>23</v>
      </c>
      <c r="F186" s="25"/>
      <c r="G186" s="3">
        <v>1</v>
      </c>
      <c r="H186" s="3">
        <v>1</v>
      </c>
      <c r="I186" s="3">
        <v>0</v>
      </c>
      <c r="J186" s="3">
        <v>1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8"/>
      <c r="Q186" s="18"/>
      <c r="R186" s="18"/>
      <c r="S186" s="3"/>
      <c r="T186" s="3"/>
      <c r="U186" s="3"/>
      <c r="V186" s="3">
        <v>936159.66</v>
      </c>
      <c r="W186" s="22"/>
      <c r="Z186" s="27">
        <f t="shared" si="2"/>
        <v>1</v>
      </c>
    </row>
    <row r="187" spans="1:27" ht="23" customHeight="1">
      <c r="A187" s="3" t="s">
        <v>293</v>
      </c>
      <c r="B187" s="3" t="s">
        <v>447</v>
      </c>
      <c r="C187" s="3" t="s">
        <v>448</v>
      </c>
      <c r="D187" s="3" t="s">
        <v>22</v>
      </c>
      <c r="E187" s="3" t="s">
        <v>145</v>
      </c>
      <c r="F187" s="25"/>
      <c r="G187" s="3">
        <v>2</v>
      </c>
      <c r="H187" s="3">
        <v>26</v>
      </c>
      <c r="I187" s="3">
        <v>0</v>
      </c>
      <c r="J187" s="3">
        <v>24</v>
      </c>
      <c r="K187" s="3">
        <v>1</v>
      </c>
      <c r="L187" s="3">
        <v>0</v>
      </c>
      <c r="M187" s="3">
        <v>0</v>
      </c>
      <c r="N187" s="3">
        <v>0</v>
      </c>
      <c r="O187" s="3">
        <v>1</v>
      </c>
      <c r="P187" s="18"/>
      <c r="Q187" s="18"/>
      <c r="R187" s="18"/>
      <c r="S187" s="3"/>
      <c r="T187" s="3">
        <v>-1</v>
      </c>
      <c r="U187" s="3">
        <v>-45</v>
      </c>
      <c r="V187" s="3"/>
      <c r="W187" s="22"/>
      <c r="Z187" s="27">
        <f t="shared" si="2"/>
        <v>12</v>
      </c>
    </row>
    <row r="188" spans="1:27" ht="20" customHeight="1">
      <c r="A188" s="3" t="s">
        <v>449</v>
      </c>
      <c r="B188" s="3" t="s">
        <v>450</v>
      </c>
      <c r="C188" s="3" t="s">
        <v>451</v>
      </c>
      <c r="D188" s="3" t="s">
        <v>22</v>
      </c>
      <c r="E188" s="3" t="s">
        <v>23</v>
      </c>
      <c r="F188" s="25"/>
      <c r="G188" s="3">
        <v>1</v>
      </c>
      <c r="H188" s="3">
        <v>2</v>
      </c>
      <c r="I188" s="3">
        <v>0</v>
      </c>
      <c r="J188" s="3">
        <v>2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8"/>
      <c r="Q188" s="18"/>
      <c r="R188" s="18"/>
      <c r="S188" s="3"/>
      <c r="T188" s="3"/>
      <c r="U188" s="3"/>
      <c r="V188" s="3">
        <v>104000</v>
      </c>
      <c r="W188" s="22"/>
      <c r="Z188" s="27">
        <f t="shared" si="2"/>
        <v>2</v>
      </c>
    </row>
    <row r="189" spans="1:27" ht="20" customHeight="1">
      <c r="A189" s="3" t="s">
        <v>452</v>
      </c>
      <c r="B189" s="3" t="s">
        <v>453</v>
      </c>
      <c r="C189" s="3" t="s">
        <v>454</v>
      </c>
      <c r="D189" s="3" t="s">
        <v>22</v>
      </c>
      <c r="E189" s="3" t="s">
        <v>23</v>
      </c>
      <c r="F189" s="25"/>
      <c r="G189" s="3">
        <v>3</v>
      </c>
      <c r="H189" s="3">
        <v>5</v>
      </c>
      <c r="I189" s="3">
        <v>0</v>
      </c>
      <c r="J189" s="3">
        <v>3</v>
      </c>
      <c r="K189" s="3">
        <v>0</v>
      </c>
      <c r="L189" s="3">
        <v>0</v>
      </c>
      <c r="M189" s="3">
        <v>0</v>
      </c>
      <c r="N189" s="3">
        <v>0</v>
      </c>
      <c r="O189" s="3">
        <v>2</v>
      </c>
      <c r="P189" s="18"/>
      <c r="Q189" s="18"/>
      <c r="R189" s="18"/>
      <c r="S189" s="3">
        <v>2</v>
      </c>
      <c r="T189" s="3">
        <v>-1</v>
      </c>
      <c r="U189" s="3">
        <v>-7</v>
      </c>
      <c r="V189" s="3">
        <v>4306334.307</v>
      </c>
      <c r="W189" s="22"/>
      <c r="Z189" s="27">
        <f t="shared" si="2"/>
        <v>1</v>
      </c>
      <c r="AA189" s="19">
        <v>1</v>
      </c>
    </row>
    <row r="190" spans="1:27" ht="23" customHeight="1">
      <c r="A190" s="3" t="s">
        <v>309</v>
      </c>
      <c r="B190" s="3" t="s">
        <v>455</v>
      </c>
      <c r="C190" s="3" t="s">
        <v>456</v>
      </c>
      <c r="D190" s="3" t="s">
        <v>22</v>
      </c>
      <c r="E190" s="3" t="s">
        <v>23</v>
      </c>
      <c r="F190" s="25"/>
      <c r="G190" s="3">
        <v>1</v>
      </c>
      <c r="H190" s="3">
        <v>1</v>
      </c>
      <c r="I190" s="3">
        <v>0</v>
      </c>
      <c r="J190" s="3">
        <v>1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8"/>
      <c r="Q190" s="18"/>
      <c r="R190" s="18"/>
      <c r="S190" s="3"/>
      <c r="T190" s="3"/>
      <c r="U190" s="3"/>
      <c r="V190" s="3"/>
      <c r="W190" s="22"/>
      <c r="Z190" s="27">
        <f t="shared" si="2"/>
        <v>1</v>
      </c>
    </row>
    <row r="191" spans="1:27" ht="23" customHeight="1">
      <c r="A191" s="3" t="s">
        <v>457</v>
      </c>
      <c r="B191" s="3" t="s">
        <v>458</v>
      </c>
      <c r="C191" s="3" t="s">
        <v>459</v>
      </c>
      <c r="D191" s="3" t="s">
        <v>22</v>
      </c>
      <c r="E191" s="3" t="s">
        <v>23</v>
      </c>
      <c r="F191" s="25"/>
      <c r="G191" s="3">
        <v>12</v>
      </c>
      <c r="H191" s="3">
        <v>72</v>
      </c>
      <c r="I191" s="3">
        <v>0</v>
      </c>
      <c r="J191" s="3">
        <v>33</v>
      </c>
      <c r="K191" s="3">
        <v>19</v>
      </c>
      <c r="L191" s="3">
        <v>1</v>
      </c>
      <c r="M191" s="3">
        <v>0</v>
      </c>
      <c r="N191" s="3">
        <v>7</v>
      </c>
      <c r="O191" s="3">
        <v>13</v>
      </c>
      <c r="P191" s="18"/>
      <c r="Q191" s="18"/>
      <c r="R191" s="18"/>
      <c r="S191" s="3"/>
      <c r="T191" s="3">
        <v>-41</v>
      </c>
      <c r="U191" s="3">
        <v>-515</v>
      </c>
      <c r="V191" s="3">
        <v>868787.52843627683</v>
      </c>
      <c r="W191" s="22"/>
      <c r="Z191" s="27">
        <f t="shared" si="2"/>
        <v>2.75</v>
      </c>
    </row>
    <row r="192" spans="1:27" ht="20" customHeight="1">
      <c r="A192" s="3" t="s">
        <v>460</v>
      </c>
      <c r="B192" s="3" t="s">
        <v>461</v>
      </c>
      <c r="C192" s="3" t="s">
        <v>462</v>
      </c>
      <c r="D192" s="3" t="s">
        <v>22</v>
      </c>
      <c r="E192" s="3" t="s">
        <v>23</v>
      </c>
      <c r="F192" s="25"/>
      <c r="G192" s="3">
        <v>1</v>
      </c>
      <c r="H192" s="3">
        <v>7</v>
      </c>
      <c r="I192" s="3">
        <v>0</v>
      </c>
      <c r="J192" s="3">
        <v>5</v>
      </c>
      <c r="K192" s="3">
        <v>0</v>
      </c>
      <c r="L192" s="3">
        <v>0</v>
      </c>
      <c r="M192" s="3">
        <v>0</v>
      </c>
      <c r="N192" s="3">
        <v>0</v>
      </c>
      <c r="O192" s="3">
        <v>2</v>
      </c>
      <c r="P192" s="18"/>
      <c r="Q192" s="18"/>
      <c r="R192" s="18"/>
      <c r="S192" s="3"/>
      <c r="T192" s="3">
        <v>-2</v>
      </c>
      <c r="U192" s="3">
        <v>-4</v>
      </c>
      <c r="V192" s="3"/>
      <c r="W192" s="22"/>
      <c r="Z192" s="27">
        <f t="shared" si="2"/>
        <v>5</v>
      </c>
    </row>
    <row r="193" spans="1:26" ht="20" customHeight="1">
      <c r="A193" s="3" t="s">
        <v>437</v>
      </c>
      <c r="B193" s="3" t="s">
        <v>463</v>
      </c>
      <c r="C193" s="3" t="s">
        <v>464</v>
      </c>
      <c r="D193" s="3" t="s">
        <v>30</v>
      </c>
      <c r="E193" s="3" t="s">
        <v>465</v>
      </c>
      <c r="F193" s="25"/>
      <c r="G193" s="3">
        <v>2</v>
      </c>
      <c r="H193" s="3">
        <v>8</v>
      </c>
      <c r="I193" s="3">
        <v>0</v>
      </c>
      <c r="J193" s="3">
        <v>8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8"/>
      <c r="Q193" s="18"/>
      <c r="R193" s="18"/>
      <c r="S193" s="3"/>
      <c r="T193" s="3"/>
      <c r="U193" s="3"/>
      <c r="V193" s="3">
        <v>17118.567999999999</v>
      </c>
      <c r="W193" s="22"/>
      <c r="Z193" s="27">
        <f t="shared" si="2"/>
        <v>4</v>
      </c>
    </row>
    <row r="194" spans="1:26" ht="23" customHeight="1">
      <c r="A194" s="3" t="s">
        <v>191</v>
      </c>
      <c r="B194" s="3" t="s">
        <v>466</v>
      </c>
      <c r="C194" s="3" t="s">
        <v>467</v>
      </c>
      <c r="D194" s="3" t="s">
        <v>30</v>
      </c>
      <c r="E194" s="3" t="s">
        <v>23</v>
      </c>
      <c r="F194" s="25"/>
      <c r="G194" s="3">
        <v>22</v>
      </c>
      <c r="H194" s="3">
        <v>132</v>
      </c>
      <c r="I194" s="3">
        <v>0</v>
      </c>
      <c r="J194" s="3">
        <v>103</v>
      </c>
      <c r="K194" s="3">
        <v>21</v>
      </c>
      <c r="L194" s="3">
        <v>0</v>
      </c>
      <c r="M194" s="3">
        <v>5</v>
      </c>
      <c r="N194" s="3">
        <v>8</v>
      </c>
      <c r="O194" s="3">
        <v>0</v>
      </c>
      <c r="P194" s="18"/>
      <c r="Q194" s="18"/>
      <c r="R194" s="18"/>
      <c r="S194" s="3"/>
      <c r="T194" s="3">
        <v>-7</v>
      </c>
      <c r="U194" s="3">
        <v>-37</v>
      </c>
      <c r="V194" s="3">
        <v>40170</v>
      </c>
      <c r="W194" s="22"/>
      <c r="Z194" s="27">
        <f t="shared" si="2"/>
        <v>4.6818181818181817</v>
      </c>
    </row>
    <row r="195" spans="1:26" ht="23" customHeight="1">
      <c r="A195" s="3" t="s">
        <v>191</v>
      </c>
      <c r="B195" s="3" t="s">
        <v>468</v>
      </c>
      <c r="C195" s="3" t="s">
        <v>467</v>
      </c>
      <c r="D195" s="3" t="s">
        <v>30</v>
      </c>
      <c r="E195" s="3" t="s">
        <v>145</v>
      </c>
      <c r="F195" s="25"/>
      <c r="G195" s="3">
        <v>32</v>
      </c>
      <c r="H195" s="3">
        <v>168</v>
      </c>
      <c r="I195" s="3">
        <v>0</v>
      </c>
      <c r="J195" s="3">
        <v>148</v>
      </c>
      <c r="K195" s="3">
        <v>0</v>
      </c>
      <c r="L195" s="3">
        <v>2</v>
      </c>
      <c r="M195" s="3">
        <v>6</v>
      </c>
      <c r="N195" s="3">
        <v>14</v>
      </c>
      <c r="O195" s="3">
        <v>6</v>
      </c>
      <c r="P195" s="18"/>
      <c r="Q195" s="18"/>
      <c r="R195" s="18"/>
      <c r="S195" s="3">
        <v>1</v>
      </c>
      <c r="T195" s="3">
        <v>-66</v>
      </c>
      <c r="U195" s="3">
        <v>-908</v>
      </c>
      <c r="V195" s="3">
        <v>15772.119967634673</v>
      </c>
      <c r="W195" s="22"/>
      <c r="Z195" s="27">
        <f t="shared" si="2"/>
        <v>4.625</v>
      </c>
    </row>
    <row r="196" spans="1:26" ht="20" customHeight="1">
      <c r="A196" s="3" t="s">
        <v>469</v>
      </c>
      <c r="B196" s="3" t="s">
        <v>470</v>
      </c>
      <c r="C196" s="3" t="s">
        <v>196</v>
      </c>
      <c r="D196" s="3" t="s">
        <v>30</v>
      </c>
      <c r="E196" s="3" t="s">
        <v>23</v>
      </c>
      <c r="F196" s="25"/>
      <c r="G196" s="3">
        <v>1</v>
      </c>
      <c r="H196" s="3">
        <v>1</v>
      </c>
      <c r="I196" s="3">
        <v>0</v>
      </c>
      <c r="J196" s="3">
        <v>1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8"/>
      <c r="Q196" s="18"/>
      <c r="R196" s="18"/>
      <c r="S196" s="3">
        <v>1</v>
      </c>
      <c r="T196" s="3">
        <v>0</v>
      </c>
      <c r="U196" s="3">
        <v>0</v>
      </c>
      <c r="V196" s="3"/>
      <c r="W196" s="22"/>
      <c r="Z196" s="27">
        <f t="shared" ref="Z196:Z259" si="3">J196/G196</f>
        <v>1</v>
      </c>
    </row>
    <row r="197" spans="1:26" ht="20" customHeight="1">
      <c r="A197" s="3" t="s">
        <v>471</v>
      </c>
      <c r="B197" s="3" t="s">
        <v>472</v>
      </c>
      <c r="C197" s="3" t="s">
        <v>473</v>
      </c>
      <c r="D197" s="3" t="s">
        <v>22</v>
      </c>
      <c r="E197" s="3" t="s">
        <v>23</v>
      </c>
      <c r="F197" s="25"/>
      <c r="G197" s="3">
        <v>2</v>
      </c>
      <c r="H197" s="3">
        <v>7</v>
      </c>
      <c r="I197" s="3">
        <v>0</v>
      </c>
      <c r="J197" s="3">
        <v>7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8"/>
      <c r="Q197" s="18"/>
      <c r="R197" s="18"/>
      <c r="S197" s="3"/>
      <c r="T197" s="3"/>
      <c r="U197" s="3"/>
      <c r="V197" s="3">
        <v>54093</v>
      </c>
      <c r="W197" s="22"/>
      <c r="Z197" s="27">
        <f t="shared" si="3"/>
        <v>3.5</v>
      </c>
    </row>
    <row r="198" spans="1:26" ht="20" customHeight="1">
      <c r="A198" s="3" t="s">
        <v>75</v>
      </c>
      <c r="B198" s="3" t="s">
        <v>474</v>
      </c>
      <c r="C198" s="3" t="s">
        <v>475</v>
      </c>
      <c r="D198" s="3" t="s">
        <v>22</v>
      </c>
      <c r="E198" s="3" t="s">
        <v>23</v>
      </c>
      <c r="F198" s="25"/>
      <c r="G198" s="3">
        <v>10</v>
      </c>
      <c r="H198" s="3">
        <v>31</v>
      </c>
      <c r="I198" s="3">
        <v>0</v>
      </c>
      <c r="J198" s="3">
        <v>25</v>
      </c>
      <c r="K198" s="3">
        <v>0</v>
      </c>
      <c r="L198" s="3">
        <v>0</v>
      </c>
      <c r="M198" s="3">
        <v>1</v>
      </c>
      <c r="N198" s="3">
        <v>1</v>
      </c>
      <c r="O198" s="3">
        <v>5</v>
      </c>
      <c r="P198" s="18"/>
      <c r="Q198" s="18"/>
      <c r="R198" s="18"/>
      <c r="S198" s="3"/>
      <c r="T198" s="3">
        <v>-7</v>
      </c>
      <c r="U198" s="3">
        <v>-69</v>
      </c>
      <c r="V198" s="3"/>
      <c r="W198" s="22"/>
      <c r="Z198" s="27">
        <f t="shared" si="3"/>
        <v>2.5</v>
      </c>
    </row>
    <row r="199" spans="1:26" ht="23" customHeight="1">
      <c r="A199" s="3" t="s">
        <v>75</v>
      </c>
      <c r="B199" s="3" t="s">
        <v>476</v>
      </c>
      <c r="C199" s="3" t="s">
        <v>477</v>
      </c>
      <c r="D199" s="3" t="s">
        <v>30</v>
      </c>
      <c r="E199" s="3" t="s">
        <v>23</v>
      </c>
      <c r="F199" s="25"/>
      <c r="G199" s="3">
        <v>4</v>
      </c>
      <c r="H199" s="3">
        <v>66</v>
      </c>
      <c r="I199" s="3">
        <v>0</v>
      </c>
      <c r="J199" s="3">
        <v>60</v>
      </c>
      <c r="K199" s="3">
        <v>1</v>
      </c>
      <c r="L199" s="3">
        <v>0</v>
      </c>
      <c r="M199" s="3">
        <v>0</v>
      </c>
      <c r="N199" s="3">
        <v>5</v>
      </c>
      <c r="O199" s="3">
        <v>0</v>
      </c>
      <c r="P199" s="18"/>
      <c r="Q199" s="18"/>
      <c r="R199" s="18"/>
      <c r="S199" s="3"/>
      <c r="T199" s="3">
        <v>0</v>
      </c>
      <c r="U199" s="3">
        <v>-9</v>
      </c>
      <c r="V199" s="3">
        <v>544729.63301344006</v>
      </c>
      <c r="W199" s="22"/>
      <c r="Z199" s="27">
        <f t="shared" si="3"/>
        <v>15</v>
      </c>
    </row>
    <row r="200" spans="1:26" ht="34" customHeight="1">
      <c r="A200" s="3" t="s">
        <v>478</v>
      </c>
      <c r="B200" s="3" t="s">
        <v>479</v>
      </c>
      <c r="C200" s="3" t="s">
        <v>480</v>
      </c>
      <c r="D200" s="3" t="s">
        <v>22</v>
      </c>
      <c r="E200" s="3" t="s">
        <v>23</v>
      </c>
      <c r="F200" s="25"/>
      <c r="G200" s="3">
        <v>1</v>
      </c>
      <c r="H200" s="3">
        <v>3</v>
      </c>
      <c r="I200" s="3">
        <v>0</v>
      </c>
      <c r="J200" s="3">
        <v>3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8"/>
      <c r="Q200" s="18"/>
      <c r="R200" s="18"/>
      <c r="S200" s="3"/>
      <c r="T200" s="3"/>
      <c r="U200" s="3"/>
      <c r="V200" s="3"/>
      <c r="W200" s="22"/>
      <c r="Z200" s="27">
        <f t="shared" si="3"/>
        <v>3</v>
      </c>
    </row>
    <row r="201" spans="1:26" ht="23" customHeight="1">
      <c r="A201" s="3" t="s">
        <v>481</v>
      </c>
      <c r="B201" s="3" t="s">
        <v>482</v>
      </c>
      <c r="C201" s="3" t="s">
        <v>483</v>
      </c>
      <c r="D201" s="3" t="s">
        <v>22</v>
      </c>
      <c r="E201" s="3" t="s">
        <v>23</v>
      </c>
      <c r="F201" s="25"/>
      <c r="G201" s="3">
        <v>1</v>
      </c>
      <c r="H201" s="3">
        <v>3</v>
      </c>
      <c r="I201" s="3">
        <v>0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2</v>
      </c>
      <c r="P201" s="18"/>
      <c r="Q201" s="18"/>
      <c r="R201" s="18"/>
      <c r="S201" s="3"/>
      <c r="T201" s="3">
        <v>0</v>
      </c>
      <c r="U201" s="3">
        <v>-2</v>
      </c>
      <c r="V201" s="3">
        <v>154403.98000000001</v>
      </c>
      <c r="W201" s="22"/>
      <c r="Z201" s="27">
        <f t="shared" si="3"/>
        <v>1</v>
      </c>
    </row>
    <row r="202" spans="1:26" ht="23" customHeight="1">
      <c r="A202" s="3" t="s">
        <v>481</v>
      </c>
      <c r="B202" s="3" t="s">
        <v>484</v>
      </c>
      <c r="C202" s="3" t="s">
        <v>485</v>
      </c>
      <c r="D202" s="3" t="s">
        <v>22</v>
      </c>
      <c r="E202" s="3" t="s">
        <v>23</v>
      </c>
      <c r="F202" s="25"/>
      <c r="G202" s="3">
        <v>1</v>
      </c>
      <c r="H202" s="3">
        <v>1</v>
      </c>
      <c r="I202" s="3">
        <v>0</v>
      </c>
      <c r="J202" s="3">
        <v>1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8"/>
      <c r="Q202" s="18"/>
      <c r="R202" s="18"/>
      <c r="S202" s="3"/>
      <c r="T202" s="3"/>
      <c r="U202" s="3"/>
      <c r="V202" s="3">
        <v>25942.773999999998</v>
      </c>
      <c r="W202" s="22"/>
      <c r="Z202" s="27">
        <f t="shared" si="3"/>
        <v>1</v>
      </c>
    </row>
    <row r="203" spans="1:26" ht="23" customHeight="1">
      <c r="A203" s="3" t="s">
        <v>216</v>
      </c>
      <c r="B203" s="3" t="s">
        <v>486</v>
      </c>
      <c r="C203" s="3" t="s">
        <v>487</v>
      </c>
      <c r="D203" s="3" t="s">
        <v>22</v>
      </c>
      <c r="E203" s="3" t="s">
        <v>23</v>
      </c>
      <c r="F203" s="25"/>
      <c r="G203" s="3">
        <v>4</v>
      </c>
      <c r="H203" s="3">
        <v>15</v>
      </c>
      <c r="I203" s="3">
        <v>0</v>
      </c>
      <c r="J203" s="3">
        <v>12</v>
      </c>
      <c r="K203" s="3">
        <v>0</v>
      </c>
      <c r="L203" s="3">
        <v>0</v>
      </c>
      <c r="M203" s="3">
        <v>0</v>
      </c>
      <c r="N203" s="3">
        <v>0</v>
      </c>
      <c r="O203" s="3">
        <v>3</v>
      </c>
      <c r="P203" s="18"/>
      <c r="Q203" s="18"/>
      <c r="R203" s="18"/>
      <c r="S203" s="3"/>
      <c r="T203" s="3">
        <v>-2</v>
      </c>
      <c r="U203" s="3">
        <v>-8</v>
      </c>
      <c r="V203" s="3">
        <v>95916.676524475508</v>
      </c>
      <c r="W203" s="22"/>
      <c r="Z203" s="27">
        <f t="shared" si="3"/>
        <v>3</v>
      </c>
    </row>
    <row r="204" spans="1:26" ht="23" customHeight="1">
      <c r="A204" s="3" t="s">
        <v>216</v>
      </c>
      <c r="B204" s="3" t="s">
        <v>488</v>
      </c>
      <c r="C204" s="3" t="s">
        <v>487</v>
      </c>
      <c r="D204" s="3" t="s">
        <v>22</v>
      </c>
      <c r="E204" s="3" t="s">
        <v>23</v>
      </c>
      <c r="F204" s="25"/>
      <c r="G204" s="3">
        <v>3</v>
      </c>
      <c r="H204" s="3">
        <v>3</v>
      </c>
      <c r="I204" s="3">
        <v>0</v>
      </c>
      <c r="J204" s="3">
        <v>3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8"/>
      <c r="Q204" s="18"/>
      <c r="R204" s="18"/>
      <c r="S204" s="3"/>
      <c r="T204" s="3">
        <v>0</v>
      </c>
      <c r="U204" s="3">
        <v>-2</v>
      </c>
      <c r="V204" s="3"/>
      <c r="W204" s="22"/>
      <c r="Z204" s="27">
        <f t="shared" si="3"/>
        <v>1</v>
      </c>
    </row>
    <row r="205" spans="1:26" ht="23" customHeight="1">
      <c r="A205" s="3" t="s">
        <v>489</v>
      </c>
      <c r="B205" s="3" t="s">
        <v>490</v>
      </c>
      <c r="C205" s="3" t="s">
        <v>491</v>
      </c>
      <c r="D205" s="3" t="s">
        <v>30</v>
      </c>
      <c r="E205" s="3" t="s">
        <v>23</v>
      </c>
      <c r="F205" s="25"/>
      <c r="G205" s="3">
        <v>2</v>
      </c>
      <c r="H205" s="3">
        <v>4</v>
      </c>
      <c r="I205" s="3">
        <v>0</v>
      </c>
      <c r="J205" s="3">
        <v>4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8"/>
      <c r="Q205" s="18"/>
      <c r="R205" s="18"/>
      <c r="S205" s="3"/>
      <c r="T205" s="3"/>
      <c r="U205" s="3"/>
      <c r="V205" s="3"/>
      <c r="W205" s="22"/>
      <c r="Z205" s="27">
        <f t="shared" si="3"/>
        <v>2</v>
      </c>
    </row>
    <row r="206" spans="1:26" ht="23" customHeight="1">
      <c r="A206" s="3" t="s">
        <v>489</v>
      </c>
      <c r="B206" s="3" t="s">
        <v>492</v>
      </c>
      <c r="C206" s="3" t="s">
        <v>493</v>
      </c>
      <c r="D206" s="3" t="s">
        <v>30</v>
      </c>
      <c r="E206" s="3" t="s">
        <v>23</v>
      </c>
      <c r="F206" s="25"/>
      <c r="G206" s="3">
        <v>2</v>
      </c>
      <c r="H206" s="3">
        <v>4</v>
      </c>
      <c r="I206" s="3">
        <v>0</v>
      </c>
      <c r="J206" s="3">
        <v>4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8"/>
      <c r="Q206" s="18"/>
      <c r="R206" s="18"/>
      <c r="S206" s="3"/>
      <c r="T206" s="3">
        <v>-1</v>
      </c>
      <c r="U206" s="3">
        <v>-1</v>
      </c>
      <c r="V206" s="3">
        <v>0</v>
      </c>
      <c r="W206" s="22"/>
      <c r="Z206" s="27">
        <f t="shared" si="3"/>
        <v>2</v>
      </c>
    </row>
    <row r="207" spans="1:26" ht="34" customHeight="1">
      <c r="A207" s="3" t="s">
        <v>481</v>
      </c>
      <c r="B207" s="3" t="s">
        <v>494</v>
      </c>
      <c r="C207" s="3" t="s">
        <v>495</v>
      </c>
      <c r="D207" s="3" t="s">
        <v>22</v>
      </c>
      <c r="E207" s="3" t="s">
        <v>23</v>
      </c>
      <c r="F207" s="25"/>
      <c r="G207" s="3">
        <v>1</v>
      </c>
      <c r="H207" s="3">
        <v>2</v>
      </c>
      <c r="I207" s="3">
        <v>0</v>
      </c>
      <c r="J207" s="3">
        <v>2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8"/>
      <c r="Q207" s="18"/>
      <c r="R207" s="18"/>
      <c r="S207" s="3"/>
      <c r="T207" s="3"/>
      <c r="U207" s="3"/>
      <c r="V207" s="3">
        <v>129054</v>
      </c>
      <c r="W207" s="22"/>
      <c r="Z207" s="27">
        <f t="shared" si="3"/>
        <v>2</v>
      </c>
    </row>
    <row r="208" spans="1:26" ht="23" customHeight="1">
      <c r="A208" s="3" t="s">
        <v>496</v>
      </c>
      <c r="B208" s="3" t="s">
        <v>497</v>
      </c>
      <c r="C208" s="3" t="s">
        <v>498</v>
      </c>
      <c r="D208" s="3" t="s">
        <v>22</v>
      </c>
      <c r="E208" s="3" t="s">
        <v>23</v>
      </c>
      <c r="F208" s="25"/>
      <c r="G208" s="3">
        <v>1</v>
      </c>
      <c r="H208" s="3">
        <v>9</v>
      </c>
      <c r="I208" s="3">
        <v>0</v>
      </c>
      <c r="J208" s="3">
        <v>9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8"/>
      <c r="Q208" s="18"/>
      <c r="R208" s="18"/>
      <c r="S208" s="3"/>
      <c r="T208" s="3"/>
      <c r="U208" s="3"/>
      <c r="V208" s="3">
        <v>443276.57682000002</v>
      </c>
      <c r="W208" s="22"/>
      <c r="Z208" s="27">
        <f t="shared" si="3"/>
        <v>9</v>
      </c>
    </row>
    <row r="209" spans="1:27" ht="34" customHeight="1">
      <c r="A209" s="3" t="s">
        <v>481</v>
      </c>
      <c r="B209" s="3" t="s">
        <v>499</v>
      </c>
      <c r="C209" s="3" t="s">
        <v>500</v>
      </c>
      <c r="D209" s="3" t="s">
        <v>22</v>
      </c>
      <c r="E209" s="3" t="s">
        <v>23</v>
      </c>
      <c r="F209" s="25"/>
      <c r="G209" s="3">
        <v>1</v>
      </c>
      <c r="H209" s="3">
        <v>5</v>
      </c>
      <c r="I209" s="3">
        <v>0</v>
      </c>
      <c r="J209" s="3">
        <v>4</v>
      </c>
      <c r="K209" s="3">
        <v>0</v>
      </c>
      <c r="L209" s="3">
        <v>0</v>
      </c>
      <c r="M209" s="3">
        <v>0</v>
      </c>
      <c r="N209" s="3">
        <v>0</v>
      </c>
      <c r="O209" s="3">
        <v>1</v>
      </c>
      <c r="P209" s="18"/>
      <c r="Q209" s="18"/>
      <c r="R209" s="18"/>
      <c r="S209" s="3"/>
      <c r="T209" s="3">
        <v>0</v>
      </c>
      <c r="U209" s="3">
        <v>-1</v>
      </c>
      <c r="V209" s="3">
        <v>638299.83493333333</v>
      </c>
      <c r="W209" s="22"/>
      <c r="Z209" s="27">
        <f t="shared" si="3"/>
        <v>4</v>
      </c>
    </row>
    <row r="210" spans="1:27" ht="34" customHeight="1">
      <c r="A210" s="3" t="s">
        <v>481</v>
      </c>
      <c r="B210" s="3" t="s">
        <v>501</v>
      </c>
      <c r="C210" s="3" t="s">
        <v>502</v>
      </c>
      <c r="D210" s="3" t="s">
        <v>22</v>
      </c>
      <c r="E210" s="3" t="s">
        <v>23</v>
      </c>
      <c r="F210" s="25"/>
      <c r="G210" s="3">
        <v>1</v>
      </c>
      <c r="H210" s="3">
        <v>4</v>
      </c>
      <c r="I210" s="3">
        <v>0</v>
      </c>
      <c r="J210" s="3">
        <v>4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8"/>
      <c r="Q210" s="18"/>
      <c r="R210" s="18"/>
      <c r="S210" s="3"/>
      <c r="T210" s="3"/>
      <c r="U210" s="3"/>
      <c r="V210" s="3">
        <v>448517.87271262502</v>
      </c>
      <c r="W210" s="22"/>
      <c r="Z210" s="27">
        <f t="shared" si="3"/>
        <v>4</v>
      </c>
    </row>
    <row r="211" spans="1:27" ht="23" customHeight="1">
      <c r="A211" s="3" t="s">
        <v>503</v>
      </c>
      <c r="B211" s="3" t="s">
        <v>504</v>
      </c>
      <c r="C211" s="3" t="s">
        <v>505</v>
      </c>
      <c r="D211" s="3" t="s">
        <v>22</v>
      </c>
      <c r="E211" s="3" t="s">
        <v>23</v>
      </c>
      <c r="F211" s="25"/>
      <c r="G211" s="3">
        <v>2</v>
      </c>
      <c r="H211" s="3">
        <v>4</v>
      </c>
      <c r="I211" s="3">
        <v>0</v>
      </c>
      <c r="J211" s="3">
        <v>3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18"/>
      <c r="Q211" s="18"/>
      <c r="R211" s="18"/>
      <c r="S211" s="3"/>
      <c r="T211" s="3"/>
      <c r="U211" s="3"/>
      <c r="V211" s="3">
        <v>74257.215735999998</v>
      </c>
      <c r="W211" s="22"/>
      <c r="Z211" s="27">
        <f t="shared" si="3"/>
        <v>1.5</v>
      </c>
    </row>
    <row r="212" spans="1:27" ht="23" customHeight="1">
      <c r="A212" s="3" t="s">
        <v>506</v>
      </c>
      <c r="B212" s="3" t="s">
        <v>507</v>
      </c>
      <c r="C212" s="3" t="s">
        <v>508</v>
      </c>
      <c r="D212" s="3" t="s">
        <v>22</v>
      </c>
      <c r="E212" s="3" t="s">
        <v>23</v>
      </c>
      <c r="F212" s="25"/>
      <c r="G212" s="3">
        <v>1</v>
      </c>
      <c r="H212" s="3">
        <v>3</v>
      </c>
      <c r="I212" s="3">
        <v>0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1</v>
      </c>
      <c r="P212" s="18"/>
      <c r="Q212" s="18"/>
      <c r="R212" s="18"/>
      <c r="S212" s="3"/>
      <c r="T212" s="3">
        <v>0</v>
      </c>
      <c r="U212" s="3">
        <v>-2</v>
      </c>
      <c r="V212" s="3"/>
      <c r="W212" s="22"/>
      <c r="Z212" s="27">
        <f t="shared" si="3"/>
        <v>2</v>
      </c>
    </row>
    <row r="213" spans="1:27" ht="23" customHeight="1">
      <c r="A213" s="3" t="s">
        <v>506</v>
      </c>
      <c r="B213" s="3" t="s">
        <v>509</v>
      </c>
      <c r="C213" s="3" t="s">
        <v>510</v>
      </c>
      <c r="D213" s="3" t="s">
        <v>22</v>
      </c>
      <c r="E213" s="3" t="s">
        <v>23</v>
      </c>
      <c r="F213" s="25"/>
      <c r="G213" s="3">
        <v>1</v>
      </c>
      <c r="H213" s="3">
        <v>6</v>
      </c>
      <c r="I213" s="3">
        <v>0</v>
      </c>
      <c r="J213" s="3">
        <v>6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18"/>
      <c r="Q213" s="18"/>
      <c r="R213" s="18"/>
      <c r="S213" s="3"/>
      <c r="T213" s="3"/>
      <c r="U213" s="3"/>
      <c r="V213" s="3">
        <v>385297.41600000003</v>
      </c>
      <c r="W213" s="22"/>
      <c r="Z213" s="27">
        <f t="shared" si="3"/>
        <v>6</v>
      </c>
    </row>
    <row r="214" spans="1:27" ht="20" customHeight="1">
      <c r="A214" s="3" t="s">
        <v>306</v>
      </c>
      <c r="B214" s="3" t="s">
        <v>511</v>
      </c>
      <c r="C214" s="3" t="s">
        <v>512</v>
      </c>
      <c r="D214" s="3" t="s">
        <v>22</v>
      </c>
      <c r="E214" s="3" t="s">
        <v>23</v>
      </c>
      <c r="F214" s="25"/>
      <c r="G214" s="3">
        <v>1</v>
      </c>
      <c r="H214" s="3">
        <v>4</v>
      </c>
      <c r="I214" s="3">
        <v>0</v>
      </c>
      <c r="J214" s="3">
        <v>4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18"/>
      <c r="Q214" s="18"/>
      <c r="R214" s="18"/>
      <c r="S214" s="3">
        <v>2</v>
      </c>
      <c r="T214" s="3">
        <v>0</v>
      </c>
      <c r="U214" s="3">
        <v>-1</v>
      </c>
      <c r="V214" s="3">
        <v>8531668.4499999993</v>
      </c>
      <c r="W214" s="22"/>
      <c r="Z214" s="27">
        <f t="shared" si="3"/>
        <v>4</v>
      </c>
    </row>
    <row r="215" spans="1:27" ht="23" customHeight="1">
      <c r="A215" s="3" t="s">
        <v>513</v>
      </c>
      <c r="B215" s="3" t="s">
        <v>514</v>
      </c>
      <c r="C215" s="3" t="s">
        <v>515</v>
      </c>
      <c r="D215" s="3" t="s">
        <v>22</v>
      </c>
      <c r="E215" s="3" t="s">
        <v>23</v>
      </c>
      <c r="F215" s="25"/>
      <c r="G215" s="3">
        <v>2</v>
      </c>
      <c r="H215" s="3">
        <v>6</v>
      </c>
      <c r="I215" s="3">
        <v>0</v>
      </c>
      <c r="J215" s="3">
        <v>5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18"/>
      <c r="Q215" s="18"/>
      <c r="R215" s="18"/>
      <c r="S215" s="3"/>
      <c r="T215" s="3">
        <v>0</v>
      </c>
      <c r="U215" s="3">
        <v>-7</v>
      </c>
      <c r="V215" s="3">
        <v>2395262.5452253334</v>
      </c>
      <c r="W215" s="22"/>
      <c r="Z215" s="27">
        <f t="shared" si="3"/>
        <v>2.5</v>
      </c>
    </row>
    <row r="216" spans="1:27" ht="23" customHeight="1">
      <c r="A216" s="3" t="s">
        <v>230</v>
      </c>
      <c r="B216" s="3" t="s">
        <v>516</v>
      </c>
      <c r="C216" s="3" t="s">
        <v>517</v>
      </c>
      <c r="D216" s="3" t="s">
        <v>22</v>
      </c>
      <c r="E216" s="3" t="s">
        <v>23</v>
      </c>
      <c r="F216" s="25"/>
      <c r="G216" s="3">
        <v>1</v>
      </c>
      <c r="H216" s="3">
        <v>1</v>
      </c>
      <c r="I216" s="3">
        <v>0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18"/>
      <c r="Q216" s="18"/>
      <c r="R216" s="18"/>
      <c r="S216" s="3"/>
      <c r="T216" s="3"/>
      <c r="U216" s="3"/>
      <c r="V216" s="3"/>
      <c r="W216" s="22"/>
      <c r="Z216" s="27">
        <f t="shared" si="3"/>
        <v>1</v>
      </c>
    </row>
    <row r="217" spans="1:27" ht="23" customHeight="1">
      <c r="A217" s="3" t="s">
        <v>518</v>
      </c>
      <c r="B217" s="3" t="s">
        <v>519</v>
      </c>
      <c r="C217" s="3" t="s">
        <v>520</v>
      </c>
      <c r="D217" s="3" t="s">
        <v>22</v>
      </c>
      <c r="E217" s="3" t="s">
        <v>23</v>
      </c>
      <c r="F217" s="25"/>
      <c r="G217" s="3">
        <v>1</v>
      </c>
      <c r="H217" s="3">
        <v>1</v>
      </c>
      <c r="I217" s="3">
        <v>0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18"/>
      <c r="Q217" s="18"/>
      <c r="R217" s="18"/>
      <c r="S217" s="3"/>
      <c r="T217" s="3"/>
      <c r="U217" s="3"/>
      <c r="V217" s="3"/>
      <c r="W217" s="22"/>
      <c r="Z217" s="27">
        <f t="shared" si="3"/>
        <v>1</v>
      </c>
    </row>
    <row r="218" spans="1:27" ht="23" customHeight="1">
      <c r="A218" s="3" t="s">
        <v>274</v>
      </c>
      <c r="B218" s="3" t="s">
        <v>521</v>
      </c>
      <c r="C218" s="3" t="s">
        <v>522</v>
      </c>
      <c r="D218" s="3" t="s">
        <v>30</v>
      </c>
      <c r="E218" s="3" t="s">
        <v>23</v>
      </c>
      <c r="F218" s="25"/>
      <c r="G218" s="3">
        <v>4</v>
      </c>
      <c r="H218" s="3">
        <v>5</v>
      </c>
      <c r="I218" s="3">
        <v>0</v>
      </c>
      <c r="J218" s="3">
        <v>5</v>
      </c>
      <c r="K218" s="3">
        <v>0</v>
      </c>
      <c r="L218" s="3">
        <v>1</v>
      </c>
      <c r="M218" s="3">
        <v>0</v>
      </c>
      <c r="N218" s="3">
        <v>0</v>
      </c>
      <c r="O218" s="3">
        <v>0</v>
      </c>
      <c r="P218" s="18"/>
      <c r="Q218" s="18"/>
      <c r="R218" s="18"/>
      <c r="S218" s="3">
        <v>6</v>
      </c>
      <c r="T218" s="3">
        <v>-1</v>
      </c>
      <c r="U218" s="3">
        <v>-10</v>
      </c>
      <c r="V218" s="3">
        <v>306746.8031358876</v>
      </c>
      <c r="W218" s="22"/>
      <c r="Z218" s="27">
        <f t="shared" si="3"/>
        <v>1.25</v>
      </c>
    </row>
    <row r="219" spans="1:27" ht="34" customHeight="1">
      <c r="A219" s="3" t="s">
        <v>523</v>
      </c>
      <c r="B219" s="3" t="s">
        <v>524</v>
      </c>
      <c r="C219" s="3" t="s">
        <v>525</v>
      </c>
      <c r="D219" s="3" t="s">
        <v>22</v>
      </c>
      <c r="E219" s="3" t="s">
        <v>23</v>
      </c>
      <c r="F219" s="25"/>
      <c r="G219" s="3">
        <v>2</v>
      </c>
      <c r="H219" s="3">
        <v>8</v>
      </c>
      <c r="I219" s="3">
        <v>0</v>
      </c>
      <c r="J219" s="3">
        <v>3</v>
      </c>
      <c r="K219" s="3">
        <v>0</v>
      </c>
      <c r="L219" s="3">
        <v>0</v>
      </c>
      <c r="M219" s="3">
        <v>0</v>
      </c>
      <c r="N219" s="3">
        <v>0</v>
      </c>
      <c r="O219" s="3">
        <v>5</v>
      </c>
      <c r="P219" s="18"/>
      <c r="Q219" s="18"/>
      <c r="R219" s="18"/>
      <c r="S219" s="3"/>
      <c r="T219" s="3">
        <v>0</v>
      </c>
      <c r="U219" s="3">
        <v>-9</v>
      </c>
      <c r="V219" s="3">
        <v>276879.80570914282</v>
      </c>
      <c r="W219" s="22"/>
      <c r="Z219" s="27">
        <f t="shared" si="3"/>
        <v>1.5</v>
      </c>
    </row>
    <row r="220" spans="1:27" ht="34" customHeight="1">
      <c r="A220" s="3" t="s">
        <v>523</v>
      </c>
      <c r="B220" s="3" t="s">
        <v>526</v>
      </c>
      <c r="C220" s="3" t="s">
        <v>527</v>
      </c>
      <c r="D220" s="3" t="s">
        <v>30</v>
      </c>
      <c r="E220" s="3" t="s">
        <v>23</v>
      </c>
      <c r="F220" s="25"/>
      <c r="G220" s="3">
        <v>1</v>
      </c>
      <c r="H220" s="3">
        <v>3</v>
      </c>
      <c r="I220" s="3">
        <v>0</v>
      </c>
      <c r="J220" s="3">
        <v>3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18"/>
      <c r="Q220" s="18"/>
      <c r="R220" s="18"/>
      <c r="S220" s="3"/>
      <c r="T220" s="3">
        <v>0</v>
      </c>
      <c r="U220" s="3">
        <v>-1</v>
      </c>
      <c r="V220" s="3"/>
      <c r="W220" s="22"/>
      <c r="Z220" s="27">
        <f t="shared" si="3"/>
        <v>3</v>
      </c>
    </row>
    <row r="221" spans="1:27" ht="23" customHeight="1">
      <c r="A221" s="3" t="s">
        <v>528</v>
      </c>
      <c r="B221" s="3" t="s">
        <v>529</v>
      </c>
      <c r="C221" s="3" t="s">
        <v>530</v>
      </c>
      <c r="D221" s="3" t="s">
        <v>22</v>
      </c>
      <c r="E221" s="3" t="s">
        <v>23</v>
      </c>
      <c r="F221" s="25"/>
      <c r="G221" s="3">
        <v>2</v>
      </c>
      <c r="H221" s="3">
        <v>12</v>
      </c>
      <c r="I221" s="3">
        <v>0</v>
      </c>
      <c r="J221" s="3">
        <v>5</v>
      </c>
      <c r="K221" s="3">
        <v>0</v>
      </c>
      <c r="L221" s="3">
        <v>0</v>
      </c>
      <c r="M221" s="3">
        <v>0</v>
      </c>
      <c r="N221" s="3">
        <v>0</v>
      </c>
      <c r="O221" s="3">
        <v>7</v>
      </c>
      <c r="P221" s="18"/>
      <c r="Q221" s="18"/>
      <c r="R221" s="18"/>
      <c r="S221" s="3"/>
      <c r="T221" s="3">
        <v>0</v>
      </c>
      <c r="U221" s="3">
        <v>-13</v>
      </c>
      <c r="V221" s="3">
        <v>554774.99</v>
      </c>
      <c r="W221" s="22"/>
      <c r="Z221" s="27">
        <f t="shared" si="3"/>
        <v>2.5</v>
      </c>
    </row>
    <row r="222" spans="1:27" ht="23" customHeight="1">
      <c r="A222" s="3" t="s">
        <v>523</v>
      </c>
      <c r="B222" s="3" t="s">
        <v>531</v>
      </c>
      <c r="C222" s="3" t="s">
        <v>532</v>
      </c>
      <c r="D222" s="3" t="s">
        <v>22</v>
      </c>
      <c r="E222" s="3" t="s">
        <v>23</v>
      </c>
      <c r="F222" s="25"/>
      <c r="G222" s="3">
        <v>4</v>
      </c>
      <c r="H222" s="3">
        <v>16</v>
      </c>
      <c r="I222" s="3">
        <v>0</v>
      </c>
      <c r="J222" s="3">
        <v>10</v>
      </c>
      <c r="K222" s="3">
        <v>0</v>
      </c>
      <c r="L222" s="3">
        <v>0</v>
      </c>
      <c r="M222" s="3">
        <v>0</v>
      </c>
      <c r="N222" s="3">
        <v>0</v>
      </c>
      <c r="O222" s="3">
        <v>6</v>
      </c>
      <c r="P222" s="18"/>
      <c r="Q222" s="18"/>
      <c r="R222" s="18"/>
      <c r="S222" s="3"/>
      <c r="T222" s="3">
        <v>-1</v>
      </c>
      <c r="U222" s="3">
        <v>-8</v>
      </c>
      <c r="V222" s="3"/>
      <c r="W222" s="22"/>
      <c r="Z222" s="27">
        <f t="shared" si="3"/>
        <v>2.5</v>
      </c>
    </row>
    <row r="223" spans="1:27" ht="23" customHeight="1">
      <c r="A223" s="3" t="s">
        <v>523</v>
      </c>
      <c r="B223" s="3" t="s">
        <v>533</v>
      </c>
      <c r="C223" s="3" t="s">
        <v>532</v>
      </c>
      <c r="D223" s="3" t="s">
        <v>22</v>
      </c>
      <c r="E223" s="3" t="s">
        <v>23</v>
      </c>
      <c r="F223" s="25"/>
      <c r="G223" s="3">
        <v>4</v>
      </c>
      <c r="H223" s="3">
        <v>16</v>
      </c>
      <c r="I223" s="3">
        <v>0</v>
      </c>
      <c r="J223" s="3">
        <v>10</v>
      </c>
      <c r="K223" s="3">
        <v>0</v>
      </c>
      <c r="L223" s="3">
        <v>0</v>
      </c>
      <c r="M223" s="3">
        <v>0</v>
      </c>
      <c r="N223" s="3">
        <v>0</v>
      </c>
      <c r="O223" s="3">
        <v>6</v>
      </c>
      <c r="P223" s="18"/>
      <c r="Q223" s="18"/>
      <c r="R223" s="18"/>
      <c r="S223" s="3"/>
      <c r="T223" s="3">
        <v>-1</v>
      </c>
      <c r="U223" s="3">
        <v>-8</v>
      </c>
      <c r="V223" s="3">
        <v>540156.69999999995</v>
      </c>
      <c r="W223" s="22"/>
      <c r="Z223" s="27">
        <f t="shared" si="3"/>
        <v>2.5</v>
      </c>
    </row>
    <row r="224" spans="1:27" ht="23" customHeight="1">
      <c r="A224" s="3" t="s">
        <v>534</v>
      </c>
      <c r="B224" s="3" t="s">
        <v>535</v>
      </c>
      <c r="C224" s="3" t="s">
        <v>536</v>
      </c>
      <c r="D224" s="3" t="s">
        <v>22</v>
      </c>
      <c r="E224" s="3" t="s">
        <v>23</v>
      </c>
      <c r="F224" s="25"/>
      <c r="G224" s="3">
        <v>4</v>
      </c>
      <c r="H224" s="3">
        <v>5</v>
      </c>
      <c r="I224" s="3">
        <v>0</v>
      </c>
      <c r="J224" s="3">
        <v>2</v>
      </c>
      <c r="K224" s="3">
        <v>0</v>
      </c>
      <c r="L224" s="3">
        <v>0</v>
      </c>
      <c r="M224" s="3">
        <v>0</v>
      </c>
      <c r="N224" s="3">
        <v>0</v>
      </c>
      <c r="O224" s="3">
        <v>3</v>
      </c>
      <c r="P224" s="18"/>
      <c r="Q224" s="18"/>
      <c r="R224" s="18"/>
      <c r="S224" s="3">
        <v>1</v>
      </c>
      <c r="T224" s="3">
        <v>-2</v>
      </c>
      <c r="U224" s="3">
        <v>-10</v>
      </c>
      <c r="V224" s="3">
        <v>65700</v>
      </c>
      <c r="W224" s="22"/>
      <c r="Z224" s="27">
        <f t="shared" si="3"/>
        <v>0.5</v>
      </c>
      <c r="AA224" s="19">
        <v>1</v>
      </c>
    </row>
    <row r="225" spans="1:27" ht="23" customHeight="1">
      <c r="A225" s="3" t="s">
        <v>537</v>
      </c>
      <c r="B225" s="3" t="s">
        <v>538</v>
      </c>
      <c r="C225" s="3" t="s">
        <v>539</v>
      </c>
      <c r="D225" s="3" t="s">
        <v>30</v>
      </c>
      <c r="E225" s="3" t="s">
        <v>23</v>
      </c>
      <c r="F225" s="25"/>
      <c r="G225" s="3">
        <v>1</v>
      </c>
      <c r="H225" s="3">
        <v>3</v>
      </c>
      <c r="I225" s="3">
        <v>0</v>
      </c>
      <c r="J225" s="3">
        <v>3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18"/>
      <c r="Q225" s="18"/>
      <c r="R225" s="18"/>
      <c r="S225" s="3"/>
      <c r="T225" s="3"/>
      <c r="U225" s="3"/>
      <c r="V225" s="3"/>
      <c r="W225" s="22"/>
      <c r="Z225" s="27">
        <f t="shared" si="3"/>
        <v>3</v>
      </c>
    </row>
    <row r="226" spans="1:27" ht="23" customHeight="1">
      <c r="A226" s="3" t="s">
        <v>540</v>
      </c>
      <c r="B226" s="3" t="s">
        <v>541</v>
      </c>
      <c r="C226" s="3" t="s">
        <v>542</v>
      </c>
      <c r="D226" s="3" t="s">
        <v>22</v>
      </c>
      <c r="E226" s="3" t="s">
        <v>23</v>
      </c>
      <c r="F226" s="25"/>
      <c r="G226" s="3">
        <v>19</v>
      </c>
      <c r="H226" s="3">
        <v>34</v>
      </c>
      <c r="I226" s="3">
        <v>0</v>
      </c>
      <c r="J226" s="3">
        <v>32</v>
      </c>
      <c r="K226" s="3">
        <v>0</v>
      </c>
      <c r="L226" s="3">
        <v>0</v>
      </c>
      <c r="M226" s="3">
        <v>0</v>
      </c>
      <c r="N226" s="3">
        <v>1</v>
      </c>
      <c r="O226" s="3">
        <v>1</v>
      </c>
      <c r="P226" s="18"/>
      <c r="Q226" s="18"/>
      <c r="R226" s="18"/>
      <c r="S226" s="3"/>
      <c r="T226" s="3">
        <v>-19</v>
      </c>
      <c r="U226" s="3">
        <v>-296</v>
      </c>
      <c r="V226" s="3">
        <v>881669.31270600006</v>
      </c>
      <c r="W226" s="22"/>
      <c r="Z226" s="27">
        <f t="shared" si="3"/>
        <v>1.6842105263157894</v>
      </c>
    </row>
    <row r="227" spans="1:27" ht="20" customHeight="1">
      <c r="A227" s="3" t="s">
        <v>105</v>
      </c>
      <c r="B227" s="3" t="s">
        <v>543</v>
      </c>
      <c r="C227" s="3" t="s">
        <v>544</v>
      </c>
      <c r="D227" s="3" t="s">
        <v>22</v>
      </c>
      <c r="E227" s="3" t="s">
        <v>145</v>
      </c>
      <c r="F227" s="25"/>
      <c r="G227" s="3">
        <v>2</v>
      </c>
      <c r="H227" s="3">
        <v>11</v>
      </c>
      <c r="I227" s="3">
        <v>0</v>
      </c>
      <c r="J227" s="3">
        <v>9</v>
      </c>
      <c r="K227" s="3">
        <v>0</v>
      </c>
      <c r="L227" s="3">
        <v>0</v>
      </c>
      <c r="M227" s="3">
        <v>0</v>
      </c>
      <c r="N227" s="3">
        <v>1</v>
      </c>
      <c r="O227" s="3">
        <v>1</v>
      </c>
      <c r="P227" s="18"/>
      <c r="Q227" s="18"/>
      <c r="R227" s="18"/>
      <c r="S227" s="3"/>
      <c r="T227" s="3">
        <v>0</v>
      </c>
      <c r="U227" s="3">
        <v>-6</v>
      </c>
      <c r="V227" s="3"/>
      <c r="W227" s="22"/>
      <c r="Z227" s="27">
        <f t="shared" si="3"/>
        <v>4.5</v>
      </c>
    </row>
    <row r="228" spans="1:27" ht="20" customHeight="1">
      <c r="A228" s="3" t="s">
        <v>105</v>
      </c>
      <c r="B228" s="3" t="s">
        <v>545</v>
      </c>
      <c r="C228" s="3" t="s">
        <v>546</v>
      </c>
      <c r="D228" s="3" t="s">
        <v>22</v>
      </c>
      <c r="E228" s="3" t="s">
        <v>23</v>
      </c>
      <c r="F228" s="25"/>
      <c r="G228" s="3">
        <v>2</v>
      </c>
      <c r="H228" s="3">
        <v>4</v>
      </c>
      <c r="I228" s="3">
        <v>0</v>
      </c>
      <c r="J228" s="3">
        <v>3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18"/>
      <c r="Q228" s="18"/>
      <c r="R228" s="18"/>
      <c r="S228" s="3"/>
      <c r="T228" s="3">
        <v>0</v>
      </c>
      <c r="U228" s="3">
        <v>-2</v>
      </c>
      <c r="V228" s="3"/>
      <c r="W228" s="22"/>
      <c r="Z228" s="27">
        <f t="shared" si="3"/>
        <v>1.5</v>
      </c>
    </row>
    <row r="229" spans="1:27" ht="23" customHeight="1">
      <c r="A229" s="3" t="s">
        <v>547</v>
      </c>
      <c r="B229" s="3" t="s">
        <v>548</v>
      </c>
      <c r="C229" s="3" t="s">
        <v>549</v>
      </c>
      <c r="D229" s="3" t="s">
        <v>22</v>
      </c>
      <c r="E229" s="3" t="s">
        <v>23</v>
      </c>
      <c r="F229" s="25"/>
      <c r="G229" s="3">
        <v>1</v>
      </c>
      <c r="H229" s="3">
        <v>3</v>
      </c>
      <c r="I229" s="3">
        <v>0</v>
      </c>
      <c r="J229" s="3">
        <v>3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18"/>
      <c r="Q229" s="18"/>
      <c r="R229" s="18"/>
      <c r="S229" s="3"/>
      <c r="T229" s="3">
        <v>0</v>
      </c>
      <c r="U229" s="3">
        <v>-2</v>
      </c>
      <c r="V229" s="3">
        <v>129453.70000000001</v>
      </c>
      <c r="W229" s="22"/>
      <c r="Z229" s="27">
        <f t="shared" si="3"/>
        <v>3</v>
      </c>
    </row>
    <row r="230" spans="1:27" ht="23" customHeight="1">
      <c r="A230" s="3" t="s">
        <v>550</v>
      </c>
      <c r="B230" s="3" t="s">
        <v>551</v>
      </c>
      <c r="C230" s="3" t="s">
        <v>552</v>
      </c>
      <c r="D230" s="3" t="s">
        <v>30</v>
      </c>
      <c r="E230" s="3" t="s">
        <v>23</v>
      </c>
      <c r="F230" s="25"/>
      <c r="G230" s="3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18"/>
      <c r="Q230" s="18"/>
      <c r="R230" s="18"/>
      <c r="S230" s="3">
        <v>10</v>
      </c>
      <c r="T230" s="3">
        <v>-2</v>
      </c>
      <c r="U230" s="3">
        <v>-10</v>
      </c>
      <c r="V230" s="3">
        <v>6659.381037012663</v>
      </c>
      <c r="W230" s="22"/>
      <c r="Z230" s="27">
        <f t="shared" si="3"/>
        <v>0</v>
      </c>
      <c r="AA230" s="19">
        <v>1</v>
      </c>
    </row>
    <row r="231" spans="1:27" ht="20" customHeight="1">
      <c r="A231" s="3" t="s">
        <v>547</v>
      </c>
      <c r="B231" s="3" t="s">
        <v>553</v>
      </c>
      <c r="C231" s="3" t="s">
        <v>554</v>
      </c>
      <c r="D231" s="3" t="s">
        <v>22</v>
      </c>
      <c r="E231" s="3" t="s">
        <v>23</v>
      </c>
      <c r="F231" s="25"/>
      <c r="G231" s="3">
        <v>1</v>
      </c>
      <c r="H231" s="3">
        <v>1</v>
      </c>
      <c r="I231" s="3">
        <v>0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>
        <v>0</v>
      </c>
      <c r="P231" s="18"/>
      <c r="Q231" s="18"/>
      <c r="R231" s="18"/>
      <c r="S231" s="3"/>
      <c r="T231" s="3">
        <v>0</v>
      </c>
      <c r="U231" s="3">
        <v>-1</v>
      </c>
      <c r="V231" s="3">
        <v>84000</v>
      </c>
      <c r="W231" s="22"/>
      <c r="Z231" s="27">
        <f t="shared" si="3"/>
        <v>1</v>
      </c>
    </row>
    <row r="232" spans="1:27" ht="23" customHeight="1">
      <c r="A232" s="3" t="s">
        <v>555</v>
      </c>
      <c r="B232" s="3" t="s">
        <v>556</v>
      </c>
      <c r="C232" s="3" t="s">
        <v>557</v>
      </c>
      <c r="D232" s="3" t="s">
        <v>22</v>
      </c>
      <c r="E232" s="3" t="s">
        <v>23</v>
      </c>
      <c r="F232" s="25"/>
      <c r="G232" s="3">
        <v>1</v>
      </c>
      <c r="H232" s="3">
        <v>1</v>
      </c>
      <c r="I232" s="3">
        <v>0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18"/>
      <c r="Q232" s="18"/>
      <c r="R232" s="18"/>
      <c r="S232" s="3"/>
      <c r="T232" s="3"/>
      <c r="U232" s="3"/>
      <c r="V232" s="3"/>
      <c r="W232" s="22"/>
      <c r="Z232" s="27">
        <f t="shared" si="3"/>
        <v>1</v>
      </c>
    </row>
    <row r="233" spans="1:27" ht="23" customHeight="1">
      <c r="A233" s="3" t="s">
        <v>555</v>
      </c>
      <c r="B233" s="3" t="s">
        <v>558</v>
      </c>
      <c r="C233" s="3" t="s">
        <v>559</v>
      </c>
      <c r="D233" s="3" t="s">
        <v>22</v>
      </c>
      <c r="E233" s="3" t="s">
        <v>23</v>
      </c>
      <c r="F233" s="25"/>
      <c r="G233" s="3">
        <v>1</v>
      </c>
      <c r="H233" s="3">
        <v>3</v>
      </c>
      <c r="I233" s="3">
        <v>0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2</v>
      </c>
      <c r="P233" s="18"/>
      <c r="Q233" s="18"/>
      <c r="R233" s="18"/>
      <c r="S233" s="3"/>
      <c r="T233" s="3">
        <v>0</v>
      </c>
      <c r="U233" s="3">
        <v>-3</v>
      </c>
      <c r="V233" s="3"/>
      <c r="W233" s="22"/>
      <c r="Z233" s="27">
        <f t="shared" si="3"/>
        <v>1</v>
      </c>
    </row>
    <row r="234" spans="1:27" ht="23" customHeight="1">
      <c r="A234" s="3" t="s">
        <v>560</v>
      </c>
      <c r="B234" s="3" t="s">
        <v>561</v>
      </c>
      <c r="C234" s="3" t="s">
        <v>562</v>
      </c>
      <c r="D234" s="3" t="s">
        <v>22</v>
      </c>
      <c r="E234" s="3" t="s">
        <v>23</v>
      </c>
      <c r="F234" s="25"/>
      <c r="G234" s="3">
        <v>2</v>
      </c>
      <c r="H234" s="3">
        <v>5</v>
      </c>
      <c r="I234" s="3">
        <v>0</v>
      </c>
      <c r="J234" s="3">
        <v>3</v>
      </c>
      <c r="K234" s="3">
        <v>0</v>
      </c>
      <c r="L234" s="3">
        <v>0</v>
      </c>
      <c r="M234" s="3">
        <v>0</v>
      </c>
      <c r="N234" s="3">
        <v>0</v>
      </c>
      <c r="O234" s="3">
        <v>2</v>
      </c>
      <c r="P234" s="18"/>
      <c r="Q234" s="18"/>
      <c r="R234" s="18"/>
      <c r="S234" s="3"/>
      <c r="T234" s="3">
        <v>-1</v>
      </c>
      <c r="U234" s="3">
        <v>-2</v>
      </c>
      <c r="V234" s="3"/>
      <c r="W234" s="22"/>
      <c r="Z234" s="27">
        <f t="shared" si="3"/>
        <v>1.5</v>
      </c>
    </row>
    <row r="235" spans="1:27" ht="23" customHeight="1">
      <c r="A235" s="3" t="s">
        <v>560</v>
      </c>
      <c r="B235" s="3" t="s">
        <v>563</v>
      </c>
      <c r="C235" s="3" t="s">
        <v>562</v>
      </c>
      <c r="D235" s="3" t="s">
        <v>22</v>
      </c>
      <c r="E235" s="3" t="s">
        <v>23</v>
      </c>
      <c r="F235" s="25"/>
      <c r="G235" s="3">
        <v>2</v>
      </c>
      <c r="H235" s="3">
        <v>5</v>
      </c>
      <c r="I235" s="3">
        <v>0</v>
      </c>
      <c r="J235" s="3">
        <v>3</v>
      </c>
      <c r="K235" s="3">
        <v>0</v>
      </c>
      <c r="L235" s="3">
        <v>0</v>
      </c>
      <c r="M235" s="3">
        <v>0</v>
      </c>
      <c r="N235" s="3">
        <v>0</v>
      </c>
      <c r="O235" s="3">
        <v>2</v>
      </c>
      <c r="P235" s="18"/>
      <c r="Q235" s="18"/>
      <c r="R235" s="18"/>
      <c r="S235" s="3"/>
      <c r="T235" s="3">
        <v>-1</v>
      </c>
      <c r="U235" s="3">
        <v>-2</v>
      </c>
      <c r="V235" s="3">
        <v>76650</v>
      </c>
      <c r="W235" s="22"/>
      <c r="Z235" s="27">
        <f t="shared" si="3"/>
        <v>1.5</v>
      </c>
    </row>
    <row r="236" spans="1:27" ht="20" customHeight="1">
      <c r="A236" s="3" t="s">
        <v>555</v>
      </c>
      <c r="B236" s="3" t="s">
        <v>564</v>
      </c>
      <c r="C236" s="3" t="s">
        <v>565</v>
      </c>
      <c r="D236" s="3" t="s">
        <v>30</v>
      </c>
      <c r="E236" s="3" t="s">
        <v>23</v>
      </c>
      <c r="F236" s="25"/>
      <c r="G236" s="3">
        <v>1</v>
      </c>
      <c r="H236" s="3">
        <v>2</v>
      </c>
      <c r="I236" s="3">
        <v>0</v>
      </c>
      <c r="J236" s="3">
        <v>2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18"/>
      <c r="Q236" s="18"/>
      <c r="R236" s="18"/>
      <c r="S236" s="3"/>
      <c r="T236" s="3">
        <v>0</v>
      </c>
      <c r="U236" s="3">
        <v>-1</v>
      </c>
      <c r="V236" s="3">
        <v>0</v>
      </c>
      <c r="W236" s="22"/>
      <c r="Z236" s="27">
        <f t="shared" si="3"/>
        <v>2</v>
      </c>
    </row>
    <row r="237" spans="1:27" ht="23" customHeight="1">
      <c r="A237" s="3" t="s">
        <v>555</v>
      </c>
      <c r="B237" s="3" t="s">
        <v>566</v>
      </c>
      <c r="C237" s="3" t="s">
        <v>567</v>
      </c>
      <c r="D237" s="3" t="s">
        <v>30</v>
      </c>
      <c r="E237" s="3" t="s">
        <v>23</v>
      </c>
      <c r="F237" s="25"/>
      <c r="G237" s="3">
        <v>1</v>
      </c>
      <c r="H237" s="3">
        <v>1</v>
      </c>
      <c r="I237" s="3">
        <v>0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18"/>
      <c r="Q237" s="18"/>
      <c r="R237" s="18"/>
      <c r="S237" s="3"/>
      <c r="T237" s="3"/>
      <c r="U237" s="3"/>
      <c r="V237" s="3">
        <v>0</v>
      </c>
      <c r="W237" s="22"/>
      <c r="Z237" s="27">
        <f t="shared" si="3"/>
        <v>1</v>
      </c>
    </row>
    <row r="238" spans="1:27" ht="23" customHeight="1">
      <c r="A238" s="3" t="s">
        <v>555</v>
      </c>
      <c r="B238" s="3" t="s">
        <v>568</v>
      </c>
      <c r="C238" s="3" t="s">
        <v>569</v>
      </c>
      <c r="D238" s="3" t="s">
        <v>30</v>
      </c>
      <c r="E238" s="3" t="s">
        <v>23</v>
      </c>
      <c r="F238" s="25"/>
      <c r="G238" s="3">
        <v>2</v>
      </c>
      <c r="H238" s="3">
        <v>2</v>
      </c>
      <c r="I238" s="3">
        <v>0</v>
      </c>
      <c r="J238" s="3">
        <v>1</v>
      </c>
      <c r="K238" s="3">
        <v>0</v>
      </c>
      <c r="L238" s="3">
        <v>0</v>
      </c>
      <c r="M238" s="3">
        <v>0</v>
      </c>
      <c r="N238" s="3">
        <v>1</v>
      </c>
      <c r="O238" s="3">
        <v>0</v>
      </c>
      <c r="P238" s="18"/>
      <c r="Q238" s="18"/>
      <c r="R238" s="18"/>
      <c r="S238" s="3"/>
      <c r="T238" s="3">
        <v>-1</v>
      </c>
      <c r="U238" s="3">
        <v>-1</v>
      </c>
      <c r="V238" s="3">
        <v>119490.06615</v>
      </c>
      <c r="W238" s="22"/>
      <c r="Z238" s="27">
        <f t="shared" si="3"/>
        <v>0.5</v>
      </c>
    </row>
    <row r="239" spans="1:27" ht="20" customHeight="1">
      <c r="A239" s="3" t="s">
        <v>570</v>
      </c>
      <c r="B239" s="3" t="s">
        <v>571</v>
      </c>
      <c r="C239" s="3" t="s">
        <v>572</v>
      </c>
      <c r="D239" s="3" t="s">
        <v>22</v>
      </c>
      <c r="E239" s="3" t="s">
        <v>23</v>
      </c>
      <c r="F239" s="25"/>
      <c r="G239" s="3">
        <v>18</v>
      </c>
      <c r="H239" s="3">
        <v>308</v>
      </c>
      <c r="I239" s="3">
        <v>0</v>
      </c>
      <c r="J239" s="3">
        <v>40</v>
      </c>
      <c r="K239" s="3">
        <v>13</v>
      </c>
      <c r="L239" s="3">
        <v>0</v>
      </c>
      <c r="M239" s="3">
        <v>7</v>
      </c>
      <c r="N239" s="3">
        <v>252</v>
      </c>
      <c r="O239" s="3">
        <v>3</v>
      </c>
      <c r="P239" s="18"/>
      <c r="Q239" s="18"/>
      <c r="R239" s="18"/>
      <c r="S239" s="3"/>
      <c r="T239" s="3">
        <v>-39</v>
      </c>
      <c r="U239" s="3">
        <v>-454</v>
      </c>
      <c r="V239" s="3">
        <v>193378.08600000001</v>
      </c>
      <c r="W239" s="22"/>
      <c r="Z239" s="27">
        <f t="shared" si="3"/>
        <v>2.2222222222222223</v>
      </c>
    </row>
    <row r="240" spans="1:27" ht="20" customHeight="1">
      <c r="A240" s="3" t="s">
        <v>573</v>
      </c>
      <c r="B240" s="3" t="s">
        <v>574</v>
      </c>
      <c r="C240" s="3" t="s">
        <v>554</v>
      </c>
      <c r="D240" s="3" t="s">
        <v>22</v>
      </c>
      <c r="E240" s="3" t="s">
        <v>23</v>
      </c>
      <c r="F240" s="25"/>
      <c r="G240" s="3">
        <v>1</v>
      </c>
      <c r="H240" s="3">
        <v>1</v>
      </c>
      <c r="I240" s="3">
        <v>0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18"/>
      <c r="Q240" s="18"/>
      <c r="R240" s="18"/>
      <c r="S240" s="3"/>
      <c r="T240" s="3">
        <v>0</v>
      </c>
      <c r="U240" s="3">
        <v>-1</v>
      </c>
      <c r="V240" s="3">
        <v>23132.73</v>
      </c>
      <c r="W240" s="22"/>
      <c r="Z240" s="27">
        <f t="shared" si="3"/>
        <v>1</v>
      </c>
    </row>
    <row r="241" spans="1:27" ht="34" customHeight="1">
      <c r="A241" s="3" t="s">
        <v>575</v>
      </c>
      <c r="B241" s="3" t="s">
        <v>576</v>
      </c>
      <c r="C241" s="3" t="s">
        <v>577</v>
      </c>
      <c r="D241" s="3" t="s">
        <v>22</v>
      </c>
      <c r="E241" s="3" t="s">
        <v>23</v>
      </c>
      <c r="F241" s="25"/>
      <c r="G241" s="3">
        <v>1</v>
      </c>
      <c r="H241" s="3">
        <v>2</v>
      </c>
      <c r="I241" s="3">
        <v>0</v>
      </c>
      <c r="J241" s="3">
        <v>2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18"/>
      <c r="Q241" s="18"/>
      <c r="R241" s="18"/>
      <c r="S241" s="3"/>
      <c r="T241" s="3">
        <v>0</v>
      </c>
      <c r="U241" s="3">
        <v>-1</v>
      </c>
      <c r="V241" s="3">
        <v>70726.009999999995</v>
      </c>
      <c r="W241" s="22"/>
      <c r="Z241" s="27">
        <f t="shared" si="3"/>
        <v>2</v>
      </c>
    </row>
    <row r="242" spans="1:27" ht="34" customHeight="1">
      <c r="A242" s="3" t="s">
        <v>575</v>
      </c>
      <c r="B242" s="3" t="s">
        <v>578</v>
      </c>
      <c r="C242" s="3" t="s">
        <v>579</v>
      </c>
      <c r="D242" s="3" t="s">
        <v>22</v>
      </c>
      <c r="E242" s="3" t="s">
        <v>23</v>
      </c>
      <c r="F242" s="25"/>
      <c r="G242" s="3">
        <v>1</v>
      </c>
      <c r="H242" s="3">
        <v>2</v>
      </c>
      <c r="I242" s="3">
        <v>0</v>
      </c>
      <c r="J242" s="3">
        <v>2</v>
      </c>
      <c r="K242" s="3">
        <v>0</v>
      </c>
      <c r="L242" s="3">
        <v>0</v>
      </c>
      <c r="M242" s="3">
        <v>1</v>
      </c>
      <c r="N242" s="3">
        <v>0</v>
      </c>
      <c r="O242" s="3">
        <v>0</v>
      </c>
      <c r="P242" s="18"/>
      <c r="Q242" s="18"/>
      <c r="R242" s="18"/>
      <c r="S242" s="3"/>
      <c r="T242" s="3"/>
      <c r="U242" s="3"/>
      <c r="V242" s="3"/>
      <c r="W242" s="22"/>
      <c r="Z242" s="27">
        <f t="shared" si="3"/>
        <v>2</v>
      </c>
    </row>
    <row r="243" spans="1:27" ht="34" customHeight="1">
      <c r="A243" s="3" t="s">
        <v>580</v>
      </c>
      <c r="B243" s="3" t="s">
        <v>581</v>
      </c>
      <c r="C243" s="3" t="s">
        <v>582</v>
      </c>
      <c r="D243" s="3" t="s">
        <v>22</v>
      </c>
      <c r="E243" s="3" t="s">
        <v>23</v>
      </c>
      <c r="F243" s="25"/>
      <c r="G243" s="3">
        <v>1</v>
      </c>
      <c r="H243" s="3">
        <v>5</v>
      </c>
      <c r="I243" s="3">
        <v>0</v>
      </c>
      <c r="J243" s="3">
        <v>4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18"/>
      <c r="Q243" s="18"/>
      <c r="R243" s="18"/>
      <c r="S243" s="3"/>
      <c r="T243" s="3">
        <v>0</v>
      </c>
      <c r="U243" s="3">
        <v>-1</v>
      </c>
      <c r="V243" s="3">
        <v>1654035.99015</v>
      </c>
      <c r="W243" s="22"/>
      <c r="Z243" s="27">
        <f t="shared" si="3"/>
        <v>4</v>
      </c>
    </row>
    <row r="244" spans="1:27" ht="20" customHeight="1">
      <c r="A244" s="3" t="s">
        <v>583</v>
      </c>
      <c r="B244" s="3" t="s">
        <v>584</v>
      </c>
      <c r="C244" s="3" t="s">
        <v>585</v>
      </c>
      <c r="D244" s="3" t="s">
        <v>30</v>
      </c>
      <c r="E244" s="3" t="s">
        <v>23</v>
      </c>
      <c r="F244" s="25"/>
      <c r="G244" s="3">
        <v>10</v>
      </c>
      <c r="H244" s="3">
        <v>10</v>
      </c>
      <c r="I244" s="3">
        <v>0</v>
      </c>
      <c r="J244" s="3">
        <v>6</v>
      </c>
      <c r="K244" s="3">
        <v>0</v>
      </c>
      <c r="L244" s="3">
        <v>0</v>
      </c>
      <c r="M244" s="3">
        <v>0</v>
      </c>
      <c r="N244" s="3">
        <v>0</v>
      </c>
      <c r="O244" s="3">
        <v>4</v>
      </c>
      <c r="P244" s="18"/>
      <c r="Q244" s="18"/>
      <c r="R244" s="18"/>
      <c r="S244" s="3"/>
      <c r="T244" s="3">
        <v>-3</v>
      </c>
      <c r="U244" s="3">
        <v>-10</v>
      </c>
      <c r="V244" s="3"/>
      <c r="W244" s="22"/>
      <c r="Z244" s="27">
        <f t="shared" si="3"/>
        <v>0.6</v>
      </c>
    </row>
    <row r="245" spans="1:27" ht="20" customHeight="1">
      <c r="A245" s="3" t="s">
        <v>315</v>
      </c>
      <c r="B245" s="3" t="s">
        <v>586</v>
      </c>
      <c r="C245" s="3" t="s">
        <v>585</v>
      </c>
      <c r="D245" s="3" t="s">
        <v>30</v>
      </c>
      <c r="E245" s="3" t="s">
        <v>23</v>
      </c>
      <c r="F245" s="25"/>
      <c r="G245" s="3">
        <v>10</v>
      </c>
      <c r="H245" s="3">
        <v>18</v>
      </c>
      <c r="I245" s="3">
        <v>0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15</v>
      </c>
      <c r="P245" s="18"/>
      <c r="Q245" s="18"/>
      <c r="R245" s="18"/>
      <c r="S245" s="3">
        <v>10</v>
      </c>
      <c r="T245" s="3">
        <v>-12</v>
      </c>
      <c r="U245" s="3">
        <v>-85</v>
      </c>
      <c r="V245" s="3"/>
      <c r="W245" s="22"/>
      <c r="Z245" s="27">
        <f t="shared" si="3"/>
        <v>0.1</v>
      </c>
      <c r="AA245" s="19">
        <v>1</v>
      </c>
    </row>
    <row r="246" spans="1:27" ht="23" customHeight="1">
      <c r="A246" s="3" t="s">
        <v>587</v>
      </c>
      <c r="B246" s="3" t="s">
        <v>588</v>
      </c>
      <c r="C246" s="3" t="s">
        <v>589</v>
      </c>
      <c r="D246" s="3" t="s">
        <v>22</v>
      </c>
      <c r="E246" s="3" t="s">
        <v>23</v>
      </c>
      <c r="F246" s="25"/>
      <c r="G246" s="3">
        <v>1</v>
      </c>
      <c r="H246" s="3">
        <v>4</v>
      </c>
      <c r="I246" s="3">
        <v>0</v>
      </c>
      <c r="J246" s="3">
        <v>3</v>
      </c>
      <c r="K246" s="3">
        <v>0</v>
      </c>
      <c r="L246" s="3">
        <v>0</v>
      </c>
      <c r="M246" s="3">
        <v>0</v>
      </c>
      <c r="N246" s="3">
        <v>0</v>
      </c>
      <c r="O246" s="3">
        <v>1</v>
      </c>
      <c r="P246" s="18"/>
      <c r="Q246" s="18"/>
      <c r="R246" s="18"/>
      <c r="S246" s="3"/>
      <c r="T246" s="3">
        <v>-1</v>
      </c>
      <c r="U246" s="3">
        <v>-3</v>
      </c>
      <c r="V246" s="3">
        <v>6463472.4632000001</v>
      </c>
      <c r="W246" s="22"/>
      <c r="Z246" s="27">
        <f t="shared" si="3"/>
        <v>3</v>
      </c>
    </row>
    <row r="247" spans="1:27" ht="23" customHeight="1">
      <c r="A247" s="3" t="s">
        <v>587</v>
      </c>
      <c r="B247" s="3" t="s">
        <v>590</v>
      </c>
      <c r="C247" s="3" t="s">
        <v>591</v>
      </c>
      <c r="D247" s="3" t="s">
        <v>22</v>
      </c>
      <c r="E247" s="3" t="s">
        <v>23</v>
      </c>
      <c r="F247" s="25"/>
      <c r="G247" s="3">
        <v>2</v>
      </c>
      <c r="H247" s="3">
        <v>10</v>
      </c>
      <c r="I247" s="3">
        <v>0</v>
      </c>
      <c r="J247" s="3">
        <v>4</v>
      </c>
      <c r="K247" s="3">
        <v>0</v>
      </c>
      <c r="L247" s="3">
        <v>0</v>
      </c>
      <c r="M247" s="3">
        <v>0</v>
      </c>
      <c r="N247" s="3">
        <v>1</v>
      </c>
      <c r="O247" s="3">
        <v>5</v>
      </c>
      <c r="P247" s="18"/>
      <c r="Q247" s="18"/>
      <c r="R247" s="18"/>
      <c r="S247" s="3">
        <v>1</v>
      </c>
      <c r="T247" s="3">
        <v>0</v>
      </c>
      <c r="U247" s="3">
        <v>-12</v>
      </c>
      <c r="V247" s="3">
        <v>3217303.3851000001</v>
      </c>
      <c r="W247" s="22"/>
      <c r="Z247" s="27">
        <f t="shared" si="3"/>
        <v>2</v>
      </c>
    </row>
    <row r="248" spans="1:27" ht="23" customHeight="1">
      <c r="A248" s="3" t="s">
        <v>200</v>
      </c>
      <c r="B248" s="3" t="s">
        <v>592</v>
      </c>
      <c r="C248" s="3" t="s">
        <v>593</v>
      </c>
      <c r="D248" s="3" t="s">
        <v>22</v>
      </c>
      <c r="E248" s="3" t="s">
        <v>23</v>
      </c>
      <c r="F248" s="25"/>
      <c r="G248" s="3">
        <v>2</v>
      </c>
      <c r="H248" s="3">
        <v>5</v>
      </c>
      <c r="I248" s="3">
        <v>0</v>
      </c>
      <c r="J248" s="3">
        <v>2</v>
      </c>
      <c r="K248" s="3">
        <v>0</v>
      </c>
      <c r="L248" s="3">
        <v>0</v>
      </c>
      <c r="M248" s="3">
        <v>0</v>
      </c>
      <c r="N248" s="3">
        <v>0</v>
      </c>
      <c r="O248" s="3">
        <v>3</v>
      </c>
      <c r="P248" s="18"/>
      <c r="Q248" s="18"/>
      <c r="R248" s="18"/>
      <c r="S248" s="3">
        <v>2</v>
      </c>
      <c r="T248" s="3">
        <v>0</v>
      </c>
      <c r="U248" s="3">
        <v>-6</v>
      </c>
      <c r="V248" s="3">
        <v>0</v>
      </c>
      <c r="W248" s="22"/>
      <c r="Z248" s="27">
        <f t="shared" si="3"/>
        <v>1</v>
      </c>
      <c r="AA248" s="19">
        <v>1</v>
      </c>
    </row>
    <row r="249" spans="1:27" ht="23" customHeight="1">
      <c r="A249" s="3" t="s">
        <v>594</v>
      </c>
      <c r="B249" s="3" t="s">
        <v>595</v>
      </c>
      <c r="C249" s="3" t="s">
        <v>596</v>
      </c>
      <c r="D249" s="3" t="s">
        <v>22</v>
      </c>
      <c r="E249" s="3" t="s">
        <v>145</v>
      </c>
      <c r="F249" s="25"/>
      <c r="G249" s="3">
        <v>1</v>
      </c>
      <c r="H249" s="3">
        <v>5</v>
      </c>
      <c r="I249" s="3">
        <v>0</v>
      </c>
      <c r="J249" s="3">
        <v>1</v>
      </c>
      <c r="K249" s="3">
        <v>0</v>
      </c>
      <c r="L249" s="3">
        <v>0</v>
      </c>
      <c r="M249" s="3">
        <v>1</v>
      </c>
      <c r="N249" s="3">
        <v>0</v>
      </c>
      <c r="O249" s="3">
        <v>4</v>
      </c>
      <c r="P249" s="18"/>
      <c r="Q249" s="18"/>
      <c r="R249" s="18"/>
      <c r="S249" s="3"/>
      <c r="T249" s="3">
        <v>-1</v>
      </c>
      <c r="U249" s="3">
        <v>-9</v>
      </c>
      <c r="V249" s="3">
        <v>1368279.9394545192</v>
      </c>
      <c r="W249" s="22"/>
      <c r="Z249" s="27">
        <f t="shared" si="3"/>
        <v>1</v>
      </c>
    </row>
    <row r="250" spans="1:27" ht="23" customHeight="1">
      <c r="A250" s="3" t="s">
        <v>580</v>
      </c>
      <c r="B250" s="3" t="s">
        <v>597</v>
      </c>
      <c r="C250" s="3" t="s">
        <v>598</v>
      </c>
      <c r="D250" s="3" t="s">
        <v>22</v>
      </c>
      <c r="E250" s="3" t="s">
        <v>23</v>
      </c>
      <c r="F250" s="25"/>
      <c r="G250" s="3">
        <v>1</v>
      </c>
      <c r="H250" s="3">
        <v>4</v>
      </c>
      <c r="I250" s="3">
        <v>0</v>
      </c>
      <c r="J250" s="3">
        <v>2</v>
      </c>
      <c r="K250" s="3">
        <v>0</v>
      </c>
      <c r="L250" s="3">
        <v>0</v>
      </c>
      <c r="M250" s="3">
        <v>0</v>
      </c>
      <c r="N250" s="3">
        <v>0</v>
      </c>
      <c r="O250" s="3">
        <v>2</v>
      </c>
      <c r="P250" s="18"/>
      <c r="Q250" s="18"/>
      <c r="R250" s="18"/>
      <c r="S250" s="3"/>
      <c r="T250" s="3">
        <v>0</v>
      </c>
      <c r="U250" s="3">
        <v>-3</v>
      </c>
      <c r="V250" s="3">
        <v>2490026.8064000001</v>
      </c>
      <c r="W250" s="22"/>
      <c r="Z250" s="27">
        <f t="shared" si="3"/>
        <v>2</v>
      </c>
    </row>
    <row r="251" spans="1:27" ht="23" customHeight="1">
      <c r="A251" s="3" t="s">
        <v>599</v>
      </c>
      <c r="B251" s="3" t="s">
        <v>600</v>
      </c>
      <c r="C251" s="3" t="s">
        <v>601</v>
      </c>
      <c r="D251" s="3" t="s">
        <v>22</v>
      </c>
      <c r="E251" s="3" t="s">
        <v>23</v>
      </c>
      <c r="F251" s="25"/>
      <c r="G251" s="3">
        <v>2</v>
      </c>
      <c r="H251" s="3">
        <v>5</v>
      </c>
      <c r="I251" s="3">
        <v>0</v>
      </c>
      <c r="J251" s="3">
        <v>5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18"/>
      <c r="Q251" s="18"/>
      <c r="R251" s="18"/>
      <c r="S251" s="3"/>
      <c r="T251" s="3">
        <v>-1</v>
      </c>
      <c r="U251" s="3">
        <v>-1</v>
      </c>
      <c r="V251" s="3">
        <v>1418967.1751359999</v>
      </c>
      <c r="W251" s="22"/>
      <c r="Z251" s="27">
        <f t="shared" si="3"/>
        <v>2.5</v>
      </c>
    </row>
    <row r="252" spans="1:27" ht="20" customHeight="1">
      <c r="A252" s="3" t="s">
        <v>127</v>
      </c>
      <c r="B252" s="3" t="s">
        <v>602</v>
      </c>
      <c r="C252" s="3" t="s">
        <v>603</v>
      </c>
      <c r="D252" s="3" t="s">
        <v>22</v>
      </c>
      <c r="E252" s="3" t="s">
        <v>23</v>
      </c>
      <c r="F252" s="25"/>
      <c r="G252" s="3">
        <v>4</v>
      </c>
      <c r="H252" s="3">
        <v>7</v>
      </c>
      <c r="I252" s="3">
        <v>0</v>
      </c>
      <c r="J252" s="3">
        <v>4</v>
      </c>
      <c r="K252" s="3">
        <v>0</v>
      </c>
      <c r="L252" s="3">
        <v>0</v>
      </c>
      <c r="M252" s="3">
        <v>0</v>
      </c>
      <c r="N252" s="3">
        <v>0</v>
      </c>
      <c r="O252" s="3">
        <v>3</v>
      </c>
      <c r="P252" s="18"/>
      <c r="Q252" s="18"/>
      <c r="R252" s="18"/>
      <c r="S252" s="3"/>
      <c r="T252" s="3">
        <v>0</v>
      </c>
      <c r="U252" s="3">
        <v>-10</v>
      </c>
      <c r="V252" s="3">
        <v>3999385.352</v>
      </c>
      <c r="W252" s="22"/>
      <c r="Z252" s="27">
        <f t="shared" si="3"/>
        <v>1</v>
      </c>
    </row>
    <row r="253" spans="1:27" ht="34" customHeight="1">
      <c r="A253" s="3" t="s">
        <v>580</v>
      </c>
      <c r="B253" s="3" t="s">
        <v>604</v>
      </c>
      <c r="C253" s="3" t="s">
        <v>582</v>
      </c>
      <c r="D253" s="3" t="s">
        <v>22</v>
      </c>
      <c r="E253" s="3" t="s">
        <v>23</v>
      </c>
      <c r="F253" s="25"/>
      <c r="G253" s="3">
        <v>2</v>
      </c>
      <c r="H253" s="3">
        <v>4</v>
      </c>
      <c r="I253" s="3">
        <v>0</v>
      </c>
      <c r="J253" s="3">
        <v>2</v>
      </c>
      <c r="K253" s="3">
        <v>0</v>
      </c>
      <c r="L253" s="3">
        <v>0</v>
      </c>
      <c r="M253" s="3">
        <v>0</v>
      </c>
      <c r="N253" s="3">
        <v>0</v>
      </c>
      <c r="O253" s="3">
        <v>2</v>
      </c>
      <c r="P253" s="18"/>
      <c r="Q253" s="18"/>
      <c r="R253" s="18"/>
      <c r="S253" s="3"/>
      <c r="T253" s="3">
        <v>-1</v>
      </c>
      <c r="U253" s="3">
        <v>-5</v>
      </c>
      <c r="V253" s="3">
        <v>31152.54</v>
      </c>
      <c r="W253" s="22"/>
      <c r="Z253" s="27">
        <f t="shared" si="3"/>
        <v>1</v>
      </c>
    </row>
    <row r="254" spans="1:27" ht="23" customHeight="1">
      <c r="A254" s="3" t="s">
        <v>605</v>
      </c>
      <c r="B254" s="3" t="s">
        <v>606</v>
      </c>
      <c r="C254" s="3" t="s">
        <v>607</v>
      </c>
      <c r="D254" s="3" t="s">
        <v>22</v>
      </c>
      <c r="E254" s="3" t="s">
        <v>23</v>
      </c>
      <c r="F254" s="25"/>
      <c r="G254" s="3">
        <v>1</v>
      </c>
      <c r="H254" s="3">
        <v>2</v>
      </c>
      <c r="I254" s="3">
        <v>0</v>
      </c>
      <c r="J254" s="3">
        <v>2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18"/>
      <c r="Q254" s="18"/>
      <c r="R254" s="18"/>
      <c r="S254" s="3"/>
      <c r="T254" s="3"/>
      <c r="U254" s="3"/>
      <c r="V254" s="3">
        <v>43800</v>
      </c>
      <c r="W254" s="22"/>
      <c r="Z254" s="27">
        <f t="shared" si="3"/>
        <v>2</v>
      </c>
    </row>
    <row r="255" spans="1:27" ht="23" customHeight="1">
      <c r="A255" s="3" t="s">
        <v>197</v>
      </c>
      <c r="B255" s="3" t="s">
        <v>608</v>
      </c>
      <c r="C255" s="3" t="s">
        <v>609</v>
      </c>
      <c r="D255" s="3" t="s">
        <v>22</v>
      </c>
      <c r="E255" s="3" t="s">
        <v>23</v>
      </c>
      <c r="F255" s="25"/>
      <c r="G255" s="3">
        <v>1</v>
      </c>
      <c r="H255" s="3">
        <v>1</v>
      </c>
      <c r="I255" s="3">
        <v>0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18"/>
      <c r="Q255" s="18"/>
      <c r="R255" s="18"/>
      <c r="S255" s="3"/>
      <c r="T255" s="3">
        <v>-1</v>
      </c>
      <c r="U255" s="3">
        <v>-2</v>
      </c>
      <c r="V255" s="3">
        <v>1944023.5</v>
      </c>
      <c r="W255" s="22"/>
      <c r="Z255" s="27">
        <f t="shared" si="3"/>
        <v>1</v>
      </c>
    </row>
    <row r="256" spans="1:27" ht="23" customHeight="1">
      <c r="A256" s="3" t="s">
        <v>610</v>
      </c>
      <c r="B256" s="3" t="s">
        <v>611</v>
      </c>
      <c r="C256" s="3" t="s">
        <v>612</v>
      </c>
      <c r="D256" s="3" t="s">
        <v>22</v>
      </c>
      <c r="E256" s="3" t="s">
        <v>23</v>
      </c>
      <c r="F256" s="25"/>
      <c r="G256" s="3">
        <v>2</v>
      </c>
      <c r="H256" s="3">
        <v>6</v>
      </c>
      <c r="I256" s="3">
        <v>0</v>
      </c>
      <c r="J256" s="3">
        <v>5</v>
      </c>
      <c r="K256" s="3">
        <v>0</v>
      </c>
      <c r="L256" s="3">
        <v>0</v>
      </c>
      <c r="M256" s="3">
        <v>0</v>
      </c>
      <c r="N256" s="3">
        <v>1</v>
      </c>
      <c r="O256" s="3">
        <v>0</v>
      </c>
      <c r="P256" s="18"/>
      <c r="Q256" s="18"/>
      <c r="R256" s="18"/>
      <c r="S256" s="3"/>
      <c r="T256" s="3">
        <v>0</v>
      </c>
      <c r="U256" s="3">
        <v>-1</v>
      </c>
      <c r="V256" s="3">
        <v>155430.87232000002</v>
      </c>
      <c r="W256" s="22"/>
      <c r="Z256" s="27">
        <f t="shared" si="3"/>
        <v>2.5</v>
      </c>
    </row>
    <row r="257" spans="1:27" ht="23" customHeight="1">
      <c r="A257" s="3" t="s">
        <v>613</v>
      </c>
      <c r="B257" s="3" t="s">
        <v>614</v>
      </c>
      <c r="C257" s="3" t="s">
        <v>615</v>
      </c>
      <c r="D257" s="3" t="s">
        <v>22</v>
      </c>
      <c r="E257" s="3" t="s">
        <v>91</v>
      </c>
      <c r="F257" s="25"/>
      <c r="G257" s="3">
        <v>4</v>
      </c>
      <c r="H257" s="3">
        <v>4</v>
      </c>
      <c r="I257" s="3">
        <v>0</v>
      </c>
      <c r="J257" s="3">
        <v>2</v>
      </c>
      <c r="K257" s="3">
        <v>0</v>
      </c>
      <c r="L257" s="3">
        <v>0</v>
      </c>
      <c r="M257" s="3">
        <v>0</v>
      </c>
      <c r="N257" s="3">
        <v>1</v>
      </c>
      <c r="O257" s="3">
        <v>1</v>
      </c>
      <c r="P257" s="18"/>
      <c r="Q257" s="18"/>
      <c r="R257" s="18"/>
      <c r="S257" s="3"/>
      <c r="T257" s="3">
        <v>0</v>
      </c>
      <c r="U257" s="3">
        <v>-1</v>
      </c>
      <c r="V257" s="3">
        <v>783319.73</v>
      </c>
      <c r="W257" s="22"/>
      <c r="Z257" s="27">
        <f t="shared" si="3"/>
        <v>0.5</v>
      </c>
    </row>
    <row r="258" spans="1:27" ht="23" customHeight="1">
      <c r="A258" s="3" t="s">
        <v>518</v>
      </c>
      <c r="B258" s="3" t="s">
        <v>616</v>
      </c>
      <c r="C258" s="3" t="s">
        <v>617</v>
      </c>
      <c r="D258" s="3" t="s">
        <v>22</v>
      </c>
      <c r="E258" s="3" t="s">
        <v>23</v>
      </c>
      <c r="F258" s="25"/>
      <c r="G258" s="3">
        <v>8</v>
      </c>
      <c r="H258" s="3">
        <v>27</v>
      </c>
      <c r="I258" s="3">
        <v>0</v>
      </c>
      <c r="J258" s="3">
        <v>12</v>
      </c>
      <c r="K258" s="3">
        <v>0</v>
      </c>
      <c r="L258" s="3">
        <v>0</v>
      </c>
      <c r="M258" s="3">
        <v>1</v>
      </c>
      <c r="N258" s="3">
        <v>14</v>
      </c>
      <c r="O258" s="3">
        <v>1</v>
      </c>
      <c r="P258" s="18"/>
      <c r="Q258" s="18"/>
      <c r="R258" s="18"/>
      <c r="S258" s="3"/>
      <c r="T258" s="3">
        <v>0</v>
      </c>
      <c r="U258" s="3">
        <v>-11</v>
      </c>
      <c r="V258" s="3">
        <v>229286.97</v>
      </c>
      <c r="W258" s="22"/>
      <c r="Z258" s="27">
        <f t="shared" si="3"/>
        <v>1.5</v>
      </c>
    </row>
    <row r="259" spans="1:27" ht="23" customHeight="1">
      <c r="A259" s="3" t="s">
        <v>124</v>
      </c>
      <c r="B259" s="3" t="s">
        <v>618</v>
      </c>
      <c r="C259" s="3" t="s">
        <v>619</v>
      </c>
      <c r="D259" s="3" t="s">
        <v>22</v>
      </c>
      <c r="E259" s="3" t="s">
        <v>23</v>
      </c>
      <c r="F259" s="25"/>
      <c r="G259" s="3">
        <v>1</v>
      </c>
      <c r="H259" s="3">
        <v>1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18"/>
      <c r="Q259" s="18"/>
      <c r="R259" s="18"/>
      <c r="S259" s="3"/>
      <c r="T259" s="3"/>
      <c r="U259" s="3"/>
      <c r="V259" s="3">
        <v>1285206.1000000001</v>
      </c>
      <c r="W259" s="22"/>
      <c r="Z259" s="27">
        <f t="shared" si="3"/>
        <v>1</v>
      </c>
    </row>
    <row r="260" spans="1:27" ht="20" customHeight="1">
      <c r="A260" s="3" t="s">
        <v>518</v>
      </c>
      <c r="B260" s="3" t="s">
        <v>620</v>
      </c>
      <c r="C260" s="3" t="s">
        <v>621</v>
      </c>
      <c r="D260" s="3" t="s">
        <v>22</v>
      </c>
      <c r="E260" s="3" t="s">
        <v>23</v>
      </c>
      <c r="F260" s="25"/>
      <c r="G260" s="3">
        <v>1</v>
      </c>
      <c r="H260" s="3">
        <v>1</v>
      </c>
      <c r="I260" s="3">
        <v>0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18"/>
      <c r="Q260" s="18"/>
      <c r="R260" s="18"/>
      <c r="S260" s="3"/>
      <c r="T260" s="3"/>
      <c r="U260" s="3"/>
      <c r="V260" s="3"/>
      <c r="W260" s="22"/>
      <c r="Z260" s="27">
        <f t="shared" ref="Z260:Z323" si="4">J260/G260</f>
        <v>1</v>
      </c>
    </row>
    <row r="261" spans="1:27" ht="23" customHeight="1">
      <c r="A261" s="3" t="s">
        <v>622</v>
      </c>
      <c r="B261" s="3" t="s">
        <v>623</v>
      </c>
      <c r="C261" s="3" t="s">
        <v>624</v>
      </c>
      <c r="D261" s="3" t="s">
        <v>30</v>
      </c>
      <c r="E261" s="3" t="s">
        <v>23</v>
      </c>
      <c r="F261" s="25"/>
      <c r="G261" s="3">
        <v>1</v>
      </c>
      <c r="H261" s="3">
        <v>2</v>
      </c>
      <c r="I261" s="3">
        <v>0</v>
      </c>
      <c r="J261" s="3">
        <v>2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18"/>
      <c r="Q261" s="18"/>
      <c r="R261" s="18"/>
      <c r="S261" s="3"/>
      <c r="T261" s="3">
        <v>-6</v>
      </c>
      <c r="U261" s="3">
        <v>-6</v>
      </c>
      <c r="V261" s="3">
        <v>0</v>
      </c>
      <c r="W261" s="22"/>
      <c r="Z261" s="27">
        <f t="shared" si="4"/>
        <v>2</v>
      </c>
    </row>
    <row r="262" spans="1:27" ht="23" customHeight="1">
      <c r="A262" s="3" t="s">
        <v>622</v>
      </c>
      <c r="B262" s="3" t="s">
        <v>625</v>
      </c>
      <c r="C262" s="3" t="s">
        <v>626</v>
      </c>
      <c r="D262" s="3" t="s">
        <v>30</v>
      </c>
      <c r="E262" s="3" t="s">
        <v>23</v>
      </c>
      <c r="F262" s="25"/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1</v>
      </c>
      <c r="O262" s="3">
        <v>0</v>
      </c>
      <c r="P262" s="18"/>
      <c r="Q262" s="18"/>
      <c r="R262" s="18"/>
      <c r="S262" s="3">
        <v>1</v>
      </c>
      <c r="T262" s="3">
        <v>-6</v>
      </c>
      <c r="U262" s="3">
        <v>-7</v>
      </c>
      <c r="V262" s="3">
        <v>312035.5</v>
      </c>
      <c r="W262" s="22"/>
      <c r="Z262" s="27">
        <f t="shared" si="4"/>
        <v>0</v>
      </c>
      <c r="AA262" s="19">
        <v>1</v>
      </c>
    </row>
    <row r="263" spans="1:27" ht="23" customHeight="1">
      <c r="A263" s="3" t="s">
        <v>622</v>
      </c>
      <c r="B263" s="3" t="s">
        <v>627</v>
      </c>
      <c r="C263" s="3" t="s">
        <v>628</v>
      </c>
      <c r="D263" s="3" t="s">
        <v>30</v>
      </c>
      <c r="E263" s="3" t="s">
        <v>23</v>
      </c>
      <c r="F263" s="25"/>
      <c r="G263" s="3">
        <v>4</v>
      </c>
      <c r="H263" s="3">
        <v>71</v>
      </c>
      <c r="I263" s="3">
        <v>0</v>
      </c>
      <c r="J263" s="3">
        <v>1</v>
      </c>
      <c r="K263" s="3">
        <v>1</v>
      </c>
      <c r="L263" s="3">
        <v>0</v>
      </c>
      <c r="M263" s="3">
        <v>0</v>
      </c>
      <c r="N263" s="3">
        <v>17</v>
      </c>
      <c r="O263" s="3">
        <v>52</v>
      </c>
      <c r="P263" s="18"/>
      <c r="Q263" s="18"/>
      <c r="R263" s="18"/>
      <c r="S263" s="3"/>
      <c r="T263" s="3">
        <v>-3</v>
      </c>
      <c r="U263" s="3">
        <v>-21</v>
      </c>
      <c r="V263" s="3"/>
      <c r="W263" s="22"/>
      <c r="Z263" s="27">
        <f t="shared" si="4"/>
        <v>0.25</v>
      </c>
    </row>
    <row r="264" spans="1:27" ht="20" customHeight="1">
      <c r="A264" s="3" t="s">
        <v>124</v>
      </c>
      <c r="B264" s="3" t="s">
        <v>629</v>
      </c>
      <c r="C264" s="3" t="s">
        <v>630</v>
      </c>
      <c r="D264" s="3" t="s">
        <v>22</v>
      </c>
      <c r="E264" s="3" t="s">
        <v>23</v>
      </c>
      <c r="F264" s="25"/>
      <c r="G264" s="3">
        <v>1</v>
      </c>
      <c r="H264" s="3">
        <v>2</v>
      </c>
      <c r="I264" s="3">
        <v>0</v>
      </c>
      <c r="J264" s="3">
        <v>1</v>
      </c>
      <c r="K264" s="3">
        <v>1</v>
      </c>
      <c r="L264" s="3">
        <v>0</v>
      </c>
      <c r="M264" s="3">
        <v>0</v>
      </c>
      <c r="N264" s="3">
        <v>0</v>
      </c>
      <c r="O264" s="3">
        <v>0</v>
      </c>
      <c r="P264" s="18"/>
      <c r="Q264" s="18"/>
      <c r="R264" s="18"/>
      <c r="S264" s="3"/>
      <c r="T264" s="3"/>
      <c r="U264" s="3"/>
      <c r="V264" s="3">
        <v>1365060.39</v>
      </c>
      <c r="W264" s="22"/>
      <c r="Z264" s="27">
        <f t="shared" si="4"/>
        <v>1</v>
      </c>
    </row>
    <row r="265" spans="1:27" ht="23" customHeight="1">
      <c r="A265" s="3" t="s">
        <v>518</v>
      </c>
      <c r="B265" s="3" t="s">
        <v>631</v>
      </c>
      <c r="C265" s="3" t="s">
        <v>617</v>
      </c>
      <c r="D265" s="3" t="s">
        <v>22</v>
      </c>
      <c r="E265" s="3" t="s">
        <v>23</v>
      </c>
      <c r="F265" s="25"/>
      <c r="G265" s="3">
        <v>18</v>
      </c>
      <c r="H265" s="3">
        <v>113</v>
      </c>
      <c r="I265" s="3">
        <v>0</v>
      </c>
      <c r="J265" s="3">
        <v>27</v>
      </c>
      <c r="K265" s="3">
        <v>0</v>
      </c>
      <c r="L265" s="3">
        <v>0</v>
      </c>
      <c r="M265" s="3">
        <v>0</v>
      </c>
      <c r="N265" s="3">
        <v>24</v>
      </c>
      <c r="O265" s="3">
        <v>62</v>
      </c>
      <c r="P265" s="18"/>
      <c r="Q265" s="18"/>
      <c r="R265" s="18"/>
      <c r="S265" s="3"/>
      <c r="T265" s="3">
        <v>-5</v>
      </c>
      <c r="U265" s="3">
        <v>-130</v>
      </c>
      <c r="V265" s="3">
        <v>1346155.52</v>
      </c>
      <c r="W265" s="22"/>
      <c r="Z265" s="27">
        <f t="shared" si="4"/>
        <v>1.5</v>
      </c>
    </row>
    <row r="266" spans="1:27" ht="20" customHeight="1">
      <c r="A266" s="3" t="s">
        <v>632</v>
      </c>
      <c r="B266" s="3" t="s">
        <v>633</v>
      </c>
      <c r="C266" s="3" t="s">
        <v>634</v>
      </c>
      <c r="D266" s="3" t="s">
        <v>30</v>
      </c>
      <c r="E266" s="3" t="s">
        <v>23</v>
      </c>
      <c r="F266" s="25"/>
      <c r="G266" s="3">
        <v>2</v>
      </c>
      <c r="H266" s="3">
        <v>2</v>
      </c>
      <c r="I266" s="3">
        <v>0</v>
      </c>
      <c r="J266" s="3">
        <v>2</v>
      </c>
      <c r="K266" s="3">
        <v>0</v>
      </c>
      <c r="L266" s="3">
        <v>0</v>
      </c>
      <c r="M266" s="3">
        <v>1</v>
      </c>
      <c r="N266" s="3">
        <v>0</v>
      </c>
      <c r="O266" s="3">
        <v>0</v>
      </c>
      <c r="P266" s="18"/>
      <c r="Q266" s="18"/>
      <c r="R266" s="18"/>
      <c r="S266" s="3"/>
      <c r="T266" s="3">
        <v>-1</v>
      </c>
      <c r="U266" s="3">
        <v>-2</v>
      </c>
      <c r="V266" s="3">
        <v>120720.114</v>
      </c>
      <c r="W266" s="22"/>
      <c r="Z266" s="27">
        <f t="shared" si="4"/>
        <v>1</v>
      </c>
    </row>
    <row r="267" spans="1:27" ht="23" customHeight="1">
      <c r="A267" s="3" t="s">
        <v>622</v>
      </c>
      <c r="B267" s="3" t="s">
        <v>635</v>
      </c>
      <c r="C267" s="3" t="s">
        <v>636</v>
      </c>
      <c r="D267" s="3" t="s">
        <v>30</v>
      </c>
      <c r="E267" s="3" t="s">
        <v>23</v>
      </c>
      <c r="F267" s="25"/>
      <c r="G267" s="3">
        <v>4</v>
      </c>
      <c r="H267" s="3">
        <v>94</v>
      </c>
      <c r="I267" s="3">
        <v>0</v>
      </c>
      <c r="J267" s="3">
        <v>35</v>
      </c>
      <c r="K267" s="3">
        <v>0</v>
      </c>
      <c r="L267" s="3">
        <v>0</v>
      </c>
      <c r="M267" s="3">
        <v>0</v>
      </c>
      <c r="N267" s="3">
        <v>6</v>
      </c>
      <c r="O267" s="3">
        <v>53</v>
      </c>
      <c r="P267" s="18"/>
      <c r="Q267" s="18"/>
      <c r="R267" s="18"/>
      <c r="S267" s="3"/>
      <c r="T267" s="3">
        <v>-19</v>
      </c>
      <c r="U267" s="3">
        <v>-80</v>
      </c>
      <c r="V267" s="3"/>
      <c r="W267" s="22"/>
      <c r="Z267" s="27">
        <f t="shared" si="4"/>
        <v>8.75</v>
      </c>
    </row>
    <row r="268" spans="1:27" ht="34" customHeight="1">
      <c r="A268" s="3" t="s">
        <v>622</v>
      </c>
      <c r="B268" s="3" t="s">
        <v>637</v>
      </c>
      <c r="C268" s="3" t="s">
        <v>638</v>
      </c>
      <c r="D268" s="3" t="s">
        <v>30</v>
      </c>
      <c r="E268" s="3" t="s">
        <v>23</v>
      </c>
      <c r="F268" s="25"/>
      <c r="G268" s="3">
        <v>1</v>
      </c>
      <c r="H268" s="3">
        <v>12</v>
      </c>
      <c r="I268" s="3">
        <v>0</v>
      </c>
      <c r="J268" s="3">
        <v>10</v>
      </c>
      <c r="K268" s="3">
        <v>0</v>
      </c>
      <c r="L268" s="3">
        <v>0</v>
      </c>
      <c r="M268" s="3">
        <v>0</v>
      </c>
      <c r="N268" s="3">
        <v>0</v>
      </c>
      <c r="O268" s="3">
        <v>2</v>
      </c>
      <c r="P268" s="18"/>
      <c r="Q268" s="18"/>
      <c r="R268" s="18"/>
      <c r="S268" s="3"/>
      <c r="T268" s="3">
        <v>-3</v>
      </c>
      <c r="U268" s="3">
        <v>-16</v>
      </c>
      <c r="V268" s="3">
        <v>622231.51249999995</v>
      </c>
      <c r="W268" s="22"/>
      <c r="Z268" s="27">
        <f t="shared" si="4"/>
        <v>10</v>
      </c>
    </row>
    <row r="269" spans="1:27" ht="34" customHeight="1">
      <c r="A269" s="3" t="s">
        <v>622</v>
      </c>
      <c r="B269" s="3" t="s">
        <v>639</v>
      </c>
      <c r="C269" s="3" t="s">
        <v>638</v>
      </c>
      <c r="D269" s="3" t="s">
        <v>30</v>
      </c>
      <c r="E269" s="3" t="s">
        <v>23</v>
      </c>
      <c r="F269" s="25"/>
      <c r="G269" s="3">
        <v>1</v>
      </c>
      <c r="H269" s="3">
        <v>2</v>
      </c>
      <c r="I269" s="3">
        <v>0</v>
      </c>
      <c r="J269" s="3">
        <v>2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18"/>
      <c r="Q269" s="18"/>
      <c r="R269" s="18"/>
      <c r="S269" s="3"/>
      <c r="T269" s="3"/>
      <c r="U269" s="3"/>
      <c r="V269" s="3">
        <v>17641.59</v>
      </c>
      <c r="W269" s="22"/>
      <c r="Z269" s="27">
        <f t="shared" si="4"/>
        <v>2</v>
      </c>
    </row>
    <row r="270" spans="1:27" ht="34" customHeight="1">
      <c r="A270" s="3" t="s">
        <v>622</v>
      </c>
      <c r="B270" s="3" t="s">
        <v>640</v>
      </c>
      <c r="C270" s="3" t="s">
        <v>638</v>
      </c>
      <c r="D270" s="3" t="s">
        <v>30</v>
      </c>
      <c r="E270" s="3" t="s">
        <v>23</v>
      </c>
      <c r="F270" s="25"/>
      <c r="G270" s="3">
        <v>1</v>
      </c>
      <c r="H270" s="3">
        <v>5</v>
      </c>
      <c r="I270" s="3">
        <v>0</v>
      </c>
      <c r="J270" s="3">
        <v>5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18"/>
      <c r="Q270" s="18"/>
      <c r="R270" s="18"/>
      <c r="S270" s="3"/>
      <c r="T270" s="3">
        <v>-1</v>
      </c>
      <c r="U270" s="3">
        <v>-2</v>
      </c>
      <c r="V270" s="3">
        <v>0</v>
      </c>
      <c r="W270" s="22"/>
      <c r="Z270" s="27">
        <f t="shared" si="4"/>
        <v>5</v>
      </c>
    </row>
    <row r="271" spans="1:27" ht="34" customHeight="1">
      <c r="A271" s="3" t="s">
        <v>622</v>
      </c>
      <c r="B271" s="3" t="s">
        <v>641</v>
      </c>
      <c r="C271" s="3" t="s">
        <v>638</v>
      </c>
      <c r="D271" s="3" t="s">
        <v>30</v>
      </c>
      <c r="E271" s="3" t="s">
        <v>23</v>
      </c>
      <c r="F271" s="25"/>
      <c r="G271" s="3">
        <v>1</v>
      </c>
      <c r="H271" s="3">
        <v>3</v>
      </c>
      <c r="I271" s="3">
        <v>0</v>
      </c>
      <c r="J271" s="3">
        <v>3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18"/>
      <c r="Q271" s="18"/>
      <c r="R271" s="18"/>
      <c r="S271" s="3"/>
      <c r="T271" s="3">
        <v>0</v>
      </c>
      <c r="U271" s="3">
        <v>-2</v>
      </c>
      <c r="V271" s="3">
        <v>239238.11</v>
      </c>
      <c r="W271" s="22"/>
      <c r="Z271" s="27">
        <f t="shared" si="4"/>
        <v>3</v>
      </c>
    </row>
    <row r="272" spans="1:27" ht="23" customHeight="1">
      <c r="A272" s="3" t="s">
        <v>518</v>
      </c>
      <c r="B272" s="3" t="s">
        <v>642</v>
      </c>
      <c r="C272" s="3" t="s">
        <v>643</v>
      </c>
      <c r="D272" s="3" t="s">
        <v>22</v>
      </c>
      <c r="E272" s="3" t="s">
        <v>23</v>
      </c>
      <c r="F272" s="25"/>
      <c r="G272" s="3">
        <v>3</v>
      </c>
      <c r="H272" s="3">
        <v>0</v>
      </c>
      <c r="I272" s="3">
        <v>3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18"/>
      <c r="Q272" s="18"/>
      <c r="R272" s="18"/>
      <c r="S272" s="3"/>
      <c r="T272" s="3"/>
      <c r="U272" s="3"/>
      <c r="V272" s="3">
        <v>3720907.6889599999</v>
      </c>
      <c r="W272" s="22"/>
      <c r="Z272" s="27">
        <f t="shared" si="4"/>
        <v>0</v>
      </c>
    </row>
    <row r="273" spans="1:26" ht="23" customHeight="1">
      <c r="A273" s="3" t="s">
        <v>88</v>
      </c>
      <c r="B273" s="3" t="s">
        <v>644</v>
      </c>
      <c r="C273" s="3" t="s">
        <v>645</v>
      </c>
      <c r="D273" s="3" t="s">
        <v>30</v>
      </c>
      <c r="E273" s="3" t="s">
        <v>23</v>
      </c>
      <c r="F273" s="25"/>
      <c r="G273" s="3">
        <v>1</v>
      </c>
      <c r="H273" s="3">
        <v>5</v>
      </c>
      <c r="I273" s="3">
        <v>0</v>
      </c>
      <c r="J273" s="3">
        <v>3</v>
      </c>
      <c r="K273" s="3">
        <v>0</v>
      </c>
      <c r="L273" s="3">
        <v>0</v>
      </c>
      <c r="M273" s="3">
        <v>0</v>
      </c>
      <c r="N273" s="3">
        <v>0</v>
      </c>
      <c r="O273" s="3">
        <v>2</v>
      </c>
      <c r="P273" s="18"/>
      <c r="Q273" s="18"/>
      <c r="R273" s="18"/>
      <c r="S273" s="3"/>
      <c r="T273" s="3">
        <v>0</v>
      </c>
      <c r="U273" s="3">
        <v>-3</v>
      </c>
      <c r="V273" s="3">
        <v>310151.70699989062</v>
      </c>
      <c r="W273" s="22"/>
      <c r="Z273" s="27">
        <f t="shared" si="4"/>
        <v>3</v>
      </c>
    </row>
    <row r="274" spans="1:26" ht="23" customHeight="1">
      <c r="A274" s="3" t="s">
        <v>613</v>
      </c>
      <c r="B274" s="3" t="s">
        <v>646</v>
      </c>
      <c r="C274" s="3" t="s">
        <v>647</v>
      </c>
      <c r="D274" s="3" t="s">
        <v>22</v>
      </c>
      <c r="E274" s="3" t="s">
        <v>23</v>
      </c>
      <c r="F274" s="25"/>
      <c r="G274" s="3">
        <v>2</v>
      </c>
      <c r="H274" s="3">
        <v>13</v>
      </c>
      <c r="I274" s="3">
        <v>0</v>
      </c>
      <c r="J274" s="3">
        <v>12</v>
      </c>
      <c r="K274" s="3">
        <v>0</v>
      </c>
      <c r="L274" s="3">
        <v>0</v>
      </c>
      <c r="M274" s="3">
        <v>0</v>
      </c>
      <c r="N274" s="3">
        <v>0</v>
      </c>
      <c r="O274" s="3">
        <v>1</v>
      </c>
      <c r="P274" s="18"/>
      <c r="Q274" s="18"/>
      <c r="R274" s="18"/>
      <c r="S274" s="3"/>
      <c r="T274" s="3">
        <v>0</v>
      </c>
      <c r="U274" s="3">
        <v>-11</v>
      </c>
      <c r="V274" s="3">
        <v>286018.57666666672</v>
      </c>
      <c r="W274" s="22"/>
      <c r="Z274" s="27">
        <f t="shared" si="4"/>
        <v>6</v>
      </c>
    </row>
    <row r="275" spans="1:26" ht="20" customHeight="1">
      <c r="A275" s="3" t="s">
        <v>523</v>
      </c>
      <c r="B275" s="3" t="s">
        <v>648</v>
      </c>
      <c r="C275" s="3" t="s">
        <v>649</v>
      </c>
      <c r="D275" s="3" t="s">
        <v>30</v>
      </c>
      <c r="E275" s="3" t="s">
        <v>23</v>
      </c>
      <c r="F275" s="25"/>
      <c r="G275" s="3">
        <v>2</v>
      </c>
      <c r="H275" s="3">
        <v>1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18"/>
      <c r="Q275" s="18"/>
      <c r="R275" s="18"/>
      <c r="S275" s="3"/>
      <c r="T275" s="3"/>
      <c r="U275" s="3"/>
      <c r="V275" s="3">
        <v>0</v>
      </c>
      <c r="W275" s="22"/>
      <c r="Z275" s="27">
        <f t="shared" si="4"/>
        <v>0.5</v>
      </c>
    </row>
    <row r="276" spans="1:26" ht="23" customHeight="1">
      <c r="A276" s="3" t="s">
        <v>160</v>
      </c>
      <c r="B276" s="3" t="s">
        <v>650</v>
      </c>
      <c r="C276" s="3" t="s">
        <v>651</v>
      </c>
      <c r="D276" s="3" t="s">
        <v>22</v>
      </c>
      <c r="E276" s="3" t="s">
        <v>23</v>
      </c>
      <c r="F276" s="25"/>
      <c r="G276" s="3">
        <v>2</v>
      </c>
      <c r="H276" s="3">
        <v>7</v>
      </c>
      <c r="I276" s="3">
        <v>0</v>
      </c>
      <c r="J276" s="3">
        <v>7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18"/>
      <c r="Q276" s="18"/>
      <c r="R276" s="18"/>
      <c r="S276" s="3"/>
      <c r="T276" s="3">
        <v>-1</v>
      </c>
      <c r="U276" s="3">
        <v>-1</v>
      </c>
      <c r="V276" s="3">
        <v>782000</v>
      </c>
      <c r="W276" s="22"/>
      <c r="Z276" s="27">
        <f t="shared" si="4"/>
        <v>3.5</v>
      </c>
    </row>
    <row r="277" spans="1:26" ht="23" customHeight="1">
      <c r="A277" s="3" t="s">
        <v>160</v>
      </c>
      <c r="B277" s="3" t="s">
        <v>652</v>
      </c>
      <c r="C277" s="3" t="s">
        <v>651</v>
      </c>
      <c r="D277" s="3" t="s">
        <v>22</v>
      </c>
      <c r="E277" s="3" t="s">
        <v>23</v>
      </c>
      <c r="F277" s="25"/>
      <c r="G277" s="3">
        <v>2</v>
      </c>
      <c r="H277" s="3">
        <v>6</v>
      </c>
      <c r="I277" s="3">
        <v>0</v>
      </c>
      <c r="J277" s="3">
        <v>4</v>
      </c>
      <c r="K277" s="3">
        <v>0</v>
      </c>
      <c r="L277" s="3">
        <v>0</v>
      </c>
      <c r="M277" s="3">
        <v>0</v>
      </c>
      <c r="N277" s="3">
        <v>0</v>
      </c>
      <c r="O277" s="3">
        <v>2</v>
      </c>
      <c r="P277" s="18"/>
      <c r="Q277" s="18"/>
      <c r="R277" s="18"/>
      <c r="S277" s="3"/>
      <c r="T277" s="3">
        <v>0</v>
      </c>
      <c r="U277" s="3">
        <v>-5</v>
      </c>
      <c r="V277" s="3">
        <v>444213.19085000001</v>
      </c>
      <c r="W277" s="22"/>
      <c r="Z277" s="27">
        <f t="shared" si="4"/>
        <v>2</v>
      </c>
    </row>
    <row r="278" spans="1:26" ht="20" customHeight="1">
      <c r="A278" s="3" t="s">
        <v>547</v>
      </c>
      <c r="B278" s="3" t="s">
        <v>653</v>
      </c>
      <c r="C278" s="3" t="s">
        <v>554</v>
      </c>
      <c r="D278" s="3" t="s">
        <v>22</v>
      </c>
      <c r="E278" s="3" t="s">
        <v>23</v>
      </c>
      <c r="F278" s="25"/>
      <c r="G278" s="3">
        <v>1</v>
      </c>
      <c r="H278" s="3">
        <v>3</v>
      </c>
      <c r="I278" s="3">
        <v>0</v>
      </c>
      <c r="J278" s="3">
        <v>3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18"/>
      <c r="Q278" s="18"/>
      <c r="R278" s="18"/>
      <c r="S278" s="3"/>
      <c r="T278" s="3"/>
      <c r="U278" s="3"/>
      <c r="V278" s="3">
        <v>115752.965</v>
      </c>
      <c r="W278" s="22"/>
      <c r="Z278" s="27">
        <f t="shared" si="4"/>
        <v>3</v>
      </c>
    </row>
    <row r="279" spans="1:26" ht="23" customHeight="1">
      <c r="A279" s="3" t="s">
        <v>160</v>
      </c>
      <c r="B279" s="3" t="s">
        <v>654</v>
      </c>
      <c r="C279" s="3" t="s">
        <v>655</v>
      </c>
      <c r="D279" s="3" t="s">
        <v>22</v>
      </c>
      <c r="E279" s="3" t="s">
        <v>23</v>
      </c>
      <c r="F279" s="25"/>
      <c r="G279" s="3">
        <v>5</v>
      </c>
      <c r="H279" s="3">
        <v>8</v>
      </c>
      <c r="I279" s="3">
        <v>0</v>
      </c>
      <c r="J279" s="3">
        <v>7</v>
      </c>
      <c r="K279" s="3">
        <v>0</v>
      </c>
      <c r="L279" s="3">
        <v>0</v>
      </c>
      <c r="M279" s="3">
        <v>0</v>
      </c>
      <c r="N279" s="3">
        <v>0</v>
      </c>
      <c r="O279" s="3">
        <v>1</v>
      </c>
      <c r="P279" s="18"/>
      <c r="Q279" s="18"/>
      <c r="R279" s="18"/>
      <c r="S279" s="3"/>
      <c r="T279" s="3">
        <v>-1</v>
      </c>
      <c r="U279" s="3">
        <v>-10</v>
      </c>
      <c r="V279" s="3">
        <v>65357.760000000002</v>
      </c>
      <c r="W279" s="22"/>
      <c r="Z279" s="27">
        <f t="shared" si="4"/>
        <v>1.4</v>
      </c>
    </row>
    <row r="280" spans="1:26" ht="23" customHeight="1">
      <c r="A280" s="3" t="s">
        <v>656</v>
      </c>
      <c r="B280" s="3" t="s">
        <v>657</v>
      </c>
      <c r="C280" s="3" t="s">
        <v>658</v>
      </c>
      <c r="D280" s="3" t="s">
        <v>22</v>
      </c>
      <c r="E280" s="3" t="s">
        <v>23</v>
      </c>
      <c r="F280" s="25"/>
      <c r="G280" s="3">
        <v>3</v>
      </c>
      <c r="H280" s="3">
        <v>5</v>
      </c>
      <c r="I280" s="3">
        <v>0</v>
      </c>
      <c r="J280" s="3">
        <v>5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18"/>
      <c r="Q280" s="18"/>
      <c r="R280" s="18"/>
      <c r="S280" s="3"/>
      <c r="T280" s="3">
        <v>0</v>
      </c>
      <c r="U280" s="3">
        <v>-1</v>
      </c>
      <c r="V280" s="3"/>
      <c r="W280" s="22"/>
      <c r="Z280" s="27">
        <f t="shared" si="4"/>
        <v>1.6666666666666667</v>
      </c>
    </row>
    <row r="281" spans="1:26" ht="23" customHeight="1">
      <c r="A281" s="3" t="s">
        <v>656</v>
      </c>
      <c r="B281" s="3" t="s">
        <v>659</v>
      </c>
      <c r="C281" s="3" t="s">
        <v>660</v>
      </c>
      <c r="D281" s="3" t="s">
        <v>22</v>
      </c>
      <c r="E281" s="3" t="s">
        <v>23</v>
      </c>
      <c r="F281" s="25"/>
      <c r="G281" s="3">
        <v>2</v>
      </c>
      <c r="H281" s="3">
        <v>8</v>
      </c>
      <c r="I281" s="3">
        <v>0</v>
      </c>
      <c r="J281" s="3">
        <v>3</v>
      </c>
      <c r="K281" s="3">
        <v>0</v>
      </c>
      <c r="L281" s="3">
        <v>0</v>
      </c>
      <c r="M281" s="3">
        <v>0</v>
      </c>
      <c r="N281" s="3">
        <v>2</v>
      </c>
      <c r="O281" s="3">
        <v>3</v>
      </c>
      <c r="P281" s="18"/>
      <c r="Q281" s="18"/>
      <c r="R281" s="18"/>
      <c r="S281" s="3"/>
      <c r="T281" s="3">
        <v>-2</v>
      </c>
      <c r="U281" s="3">
        <v>-2</v>
      </c>
      <c r="V281" s="3">
        <v>883047.23550000007</v>
      </c>
      <c r="W281" s="22"/>
      <c r="Z281" s="27">
        <f t="shared" si="4"/>
        <v>1.5</v>
      </c>
    </row>
    <row r="282" spans="1:26" ht="23" customHeight="1">
      <c r="A282" s="3" t="s">
        <v>127</v>
      </c>
      <c r="B282" s="3" t="s">
        <v>661</v>
      </c>
      <c r="C282" s="3" t="s">
        <v>662</v>
      </c>
      <c r="D282" s="3" t="s">
        <v>22</v>
      </c>
      <c r="E282" s="3" t="s">
        <v>23</v>
      </c>
      <c r="F282" s="25"/>
      <c r="G282" s="3">
        <v>4</v>
      </c>
      <c r="H282" s="3">
        <v>11</v>
      </c>
      <c r="I282" s="3">
        <v>0</v>
      </c>
      <c r="J282" s="3">
        <v>4</v>
      </c>
      <c r="K282" s="3">
        <v>0</v>
      </c>
      <c r="L282" s="3">
        <v>0</v>
      </c>
      <c r="M282" s="3">
        <v>0</v>
      </c>
      <c r="N282" s="3">
        <v>2</v>
      </c>
      <c r="O282" s="3">
        <v>5</v>
      </c>
      <c r="P282" s="18"/>
      <c r="Q282" s="18"/>
      <c r="R282" s="18"/>
      <c r="S282" s="3"/>
      <c r="T282" s="3">
        <v>0</v>
      </c>
      <c r="U282" s="3">
        <v>-10</v>
      </c>
      <c r="V282" s="3">
        <v>11279510.297500001</v>
      </c>
      <c r="W282" s="22"/>
      <c r="Z282" s="27">
        <f t="shared" si="4"/>
        <v>1</v>
      </c>
    </row>
    <row r="283" spans="1:26" ht="23" customHeight="1">
      <c r="A283" s="3" t="s">
        <v>663</v>
      </c>
      <c r="B283" s="3" t="s">
        <v>664</v>
      </c>
      <c r="C283" s="3" t="s">
        <v>665</v>
      </c>
      <c r="D283" s="3" t="s">
        <v>22</v>
      </c>
      <c r="E283" s="3" t="s">
        <v>23</v>
      </c>
      <c r="F283" s="25"/>
      <c r="G283" s="3">
        <v>1</v>
      </c>
      <c r="H283" s="3">
        <v>2</v>
      </c>
      <c r="I283" s="3">
        <v>0</v>
      </c>
      <c r="J283" s="3">
        <v>2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18"/>
      <c r="Q283" s="18"/>
      <c r="R283" s="18"/>
      <c r="S283" s="3"/>
      <c r="T283" s="3"/>
      <c r="U283" s="3"/>
      <c r="V283" s="3">
        <v>60800</v>
      </c>
      <c r="W283" s="22"/>
      <c r="Z283" s="27">
        <f t="shared" si="4"/>
        <v>2</v>
      </c>
    </row>
    <row r="284" spans="1:26" ht="23" customHeight="1">
      <c r="A284" s="3" t="s">
        <v>666</v>
      </c>
      <c r="B284" s="3" t="s">
        <v>667</v>
      </c>
      <c r="C284" s="3" t="s">
        <v>668</v>
      </c>
      <c r="D284" s="3" t="s">
        <v>22</v>
      </c>
      <c r="E284" s="3" t="s">
        <v>23</v>
      </c>
      <c r="F284" s="25"/>
      <c r="G284" s="3">
        <v>1</v>
      </c>
      <c r="H284" s="3">
        <v>4</v>
      </c>
      <c r="I284" s="3">
        <v>0</v>
      </c>
      <c r="J284" s="3">
        <v>4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18"/>
      <c r="Q284" s="18"/>
      <c r="R284" s="18"/>
      <c r="S284" s="3"/>
      <c r="T284" s="3"/>
      <c r="U284" s="3"/>
      <c r="V284" s="3">
        <v>806179.08499999996</v>
      </c>
      <c r="W284" s="22"/>
      <c r="Z284" s="27">
        <f t="shared" si="4"/>
        <v>4</v>
      </c>
    </row>
    <row r="285" spans="1:26" ht="23" customHeight="1">
      <c r="A285" s="3" t="s">
        <v>669</v>
      </c>
      <c r="B285" s="3" t="s">
        <v>670</v>
      </c>
      <c r="C285" s="3" t="s">
        <v>671</v>
      </c>
      <c r="D285" s="3" t="s">
        <v>22</v>
      </c>
      <c r="E285" s="3" t="s">
        <v>23</v>
      </c>
      <c r="F285" s="25"/>
      <c r="G285" s="3">
        <v>1</v>
      </c>
      <c r="H285" s="3">
        <v>1</v>
      </c>
      <c r="I285" s="3">
        <v>0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18"/>
      <c r="Q285" s="18"/>
      <c r="R285" s="18"/>
      <c r="S285" s="3"/>
      <c r="T285" s="3"/>
      <c r="U285" s="3"/>
      <c r="V285" s="3">
        <v>0</v>
      </c>
      <c r="W285" s="22"/>
      <c r="Z285" s="27">
        <f t="shared" si="4"/>
        <v>1</v>
      </c>
    </row>
    <row r="286" spans="1:26" ht="23" customHeight="1">
      <c r="A286" s="3" t="s">
        <v>669</v>
      </c>
      <c r="B286" s="3" t="s">
        <v>672</v>
      </c>
      <c r="C286" s="3" t="s">
        <v>671</v>
      </c>
      <c r="D286" s="3" t="s">
        <v>22</v>
      </c>
      <c r="E286" s="3" t="s">
        <v>23</v>
      </c>
      <c r="F286" s="25"/>
      <c r="G286" s="3">
        <v>1</v>
      </c>
      <c r="H286" s="3">
        <v>1</v>
      </c>
      <c r="I286" s="3">
        <v>0</v>
      </c>
      <c r="J286" s="3">
        <v>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18"/>
      <c r="Q286" s="18"/>
      <c r="R286" s="18"/>
      <c r="S286" s="3"/>
      <c r="T286" s="3"/>
      <c r="U286" s="3"/>
      <c r="V286" s="3">
        <v>0</v>
      </c>
      <c r="W286" s="22"/>
      <c r="Z286" s="27">
        <f t="shared" si="4"/>
        <v>1</v>
      </c>
    </row>
    <row r="287" spans="1:26" ht="23" customHeight="1">
      <c r="A287" s="3" t="s">
        <v>673</v>
      </c>
      <c r="B287" s="3" t="s">
        <v>674</v>
      </c>
      <c r="C287" s="3" t="s">
        <v>675</v>
      </c>
      <c r="D287" s="3" t="s">
        <v>22</v>
      </c>
      <c r="E287" s="3" t="s">
        <v>23</v>
      </c>
      <c r="F287" s="25"/>
      <c r="G287" s="3">
        <v>2</v>
      </c>
      <c r="H287" s="3">
        <v>6</v>
      </c>
      <c r="I287" s="3">
        <v>0</v>
      </c>
      <c r="J287" s="3">
        <v>4</v>
      </c>
      <c r="K287" s="3">
        <v>0</v>
      </c>
      <c r="L287" s="3">
        <v>0</v>
      </c>
      <c r="M287" s="3">
        <v>0</v>
      </c>
      <c r="N287" s="3">
        <v>0</v>
      </c>
      <c r="O287" s="3">
        <v>2</v>
      </c>
      <c r="P287" s="18"/>
      <c r="Q287" s="18"/>
      <c r="R287" s="18"/>
      <c r="S287" s="3"/>
      <c r="T287" s="3">
        <v>0</v>
      </c>
      <c r="U287" s="3">
        <v>-4</v>
      </c>
      <c r="V287" s="3">
        <v>369847.5</v>
      </c>
      <c r="W287" s="22"/>
      <c r="Z287" s="27">
        <f t="shared" si="4"/>
        <v>2</v>
      </c>
    </row>
    <row r="288" spans="1:26" ht="23" customHeight="1">
      <c r="A288" s="3" t="s">
        <v>457</v>
      </c>
      <c r="B288" s="3" t="s">
        <v>676</v>
      </c>
      <c r="C288" s="3" t="s">
        <v>677</v>
      </c>
      <c r="D288" s="3" t="s">
        <v>22</v>
      </c>
      <c r="E288" s="3" t="s">
        <v>23</v>
      </c>
      <c r="F288" s="25"/>
      <c r="G288" s="3">
        <v>2</v>
      </c>
      <c r="H288" s="3">
        <v>8</v>
      </c>
      <c r="I288" s="3">
        <v>0</v>
      </c>
      <c r="J288" s="3">
        <v>7</v>
      </c>
      <c r="K288" s="3">
        <v>0</v>
      </c>
      <c r="L288" s="3">
        <v>0</v>
      </c>
      <c r="M288" s="3">
        <v>0</v>
      </c>
      <c r="N288" s="3">
        <v>0</v>
      </c>
      <c r="O288" s="3">
        <v>1</v>
      </c>
      <c r="P288" s="18"/>
      <c r="Q288" s="18"/>
      <c r="R288" s="18"/>
      <c r="S288" s="3"/>
      <c r="T288" s="3">
        <v>-1</v>
      </c>
      <c r="U288" s="3">
        <v>-2</v>
      </c>
      <c r="V288" s="3"/>
      <c r="W288" s="22"/>
      <c r="Z288" s="27">
        <f t="shared" si="4"/>
        <v>3.5</v>
      </c>
    </row>
    <row r="289" spans="1:26" ht="34" customHeight="1">
      <c r="A289" s="3" t="s">
        <v>678</v>
      </c>
      <c r="B289" s="3" t="s">
        <v>679</v>
      </c>
      <c r="C289" s="3" t="s">
        <v>680</v>
      </c>
      <c r="D289" s="3" t="s">
        <v>22</v>
      </c>
      <c r="E289" s="3" t="s">
        <v>23</v>
      </c>
      <c r="F289" s="25"/>
      <c r="G289" s="3">
        <v>8</v>
      </c>
      <c r="H289" s="3">
        <v>67</v>
      </c>
      <c r="I289" s="3">
        <v>0</v>
      </c>
      <c r="J289" s="3">
        <v>62</v>
      </c>
      <c r="K289" s="3">
        <v>1</v>
      </c>
      <c r="L289" s="3">
        <v>0</v>
      </c>
      <c r="M289" s="3">
        <v>0</v>
      </c>
      <c r="N289" s="3">
        <v>1</v>
      </c>
      <c r="O289" s="3">
        <v>3</v>
      </c>
      <c r="P289" s="18"/>
      <c r="Q289" s="18"/>
      <c r="R289" s="18"/>
      <c r="S289" s="3"/>
      <c r="T289" s="3">
        <v>-1</v>
      </c>
      <c r="U289" s="3">
        <v>-51</v>
      </c>
      <c r="V289" s="3">
        <v>1791276.2955443668</v>
      </c>
      <c r="W289" s="22"/>
      <c r="Z289" s="27">
        <f t="shared" si="4"/>
        <v>7.75</v>
      </c>
    </row>
    <row r="290" spans="1:26" ht="23" customHeight="1">
      <c r="A290" s="3" t="s">
        <v>503</v>
      </c>
      <c r="B290" s="3" t="s">
        <v>681</v>
      </c>
      <c r="C290" s="3" t="s">
        <v>682</v>
      </c>
      <c r="D290" s="3" t="s">
        <v>22</v>
      </c>
      <c r="E290" s="3" t="s">
        <v>23</v>
      </c>
      <c r="F290" s="25"/>
      <c r="G290" s="3">
        <v>1</v>
      </c>
      <c r="H290" s="3">
        <v>10</v>
      </c>
      <c r="I290" s="3">
        <v>0</v>
      </c>
      <c r="J290" s="3">
        <v>5</v>
      </c>
      <c r="K290" s="3">
        <v>0</v>
      </c>
      <c r="L290" s="3">
        <v>0</v>
      </c>
      <c r="M290" s="3">
        <v>0</v>
      </c>
      <c r="N290" s="3">
        <v>5</v>
      </c>
      <c r="O290" s="3">
        <v>0</v>
      </c>
      <c r="P290" s="18"/>
      <c r="Q290" s="18"/>
      <c r="R290" s="18"/>
      <c r="S290" s="3"/>
      <c r="T290" s="3">
        <v>0</v>
      </c>
      <c r="U290" s="3">
        <v>-2</v>
      </c>
      <c r="V290" s="3">
        <v>63333.15866666667</v>
      </c>
      <c r="W290" s="22"/>
      <c r="Z290" s="27">
        <f t="shared" si="4"/>
        <v>5</v>
      </c>
    </row>
    <row r="291" spans="1:26" ht="23" customHeight="1">
      <c r="A291" s="3" t="s">
        <v>683</v>
      </c>
      <c r="B291" s="3" t="s">
        <v>684</v>
      </c>
      <c r="C291" s="3" t="s">
        <v>685</v>
      </c>
      <c r="D291" s="3" t="s">
        <v>30</v>
      </c>
      <c r="E291" s="3" t="s">
        <v>23</v>
      </c>
      <c r="F291" s="25"/>
      <c r="G291" s="3">
        <v>1</v>
      </c>
      <c r="H291" s="3">
        <v>1</v>
      </c>
      <c r="I291" s="3">
        <v>0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18"/>
      <c r="Q291" s="18"/>
      <c r="R291" s="18"/>
      <c r="S291" s="3"/>
      <c r="T291" s="3"/>
      <c r="U291" s="3"/>
      <c r="V291" s="3">
        <v>156645.21799999999</v>
      </c>
      <c r="W291" s="22"/>
      <c r="Z291" s="27">
        <f t="shared" si="4"/>
        <v>1</v>
      </c>
    </row>
    <row r="292" spans="1:26" ht="23" customHeight="1">
      <c r="A292" s="3" t="s">
        <v>191</v>
      </c>
      <c r="B292" s="3" t="s">
        <v>686</v>
      </c>
      <c r="C292" s="3" t="s">
        <v>687</v>
      </c>
      <c r="D292" s="3" t="s">
        <v>22</v>
      </c>
      <c r="E292" s="3" t="s">
        <v>23</v>
      </c>
      <c r="F292" s="25"/>
      <c r="G292" s="3">
        <v>10</v>
      </c>
      <c r="H292" s="3">
        <v>121</v>
      </c>
      <c r="I292" s="3">
        <v>0</v>
      </c>
      <c r="J292" s="3">
        <v>34</v>
      </c>
      <c r="K292" s="3">
        <v>26</v>
      </c>
      <c r="L292" s="3">
        <v>0</v>
      </c>
      <c r="M292" s="3">
        <v>61</v>
      </c>
      <c r="N292" s="3">
        <v>51</v>
      </c>
      <c r="O292" s="3">
        <v>10</v>
      </c>
      <c r="P292" s="18"/>
      <c r="Q292" s="18"/>
      <c r="R292" s="18"/>
      <c r="S292" s="3"/>
      <c r="T292" s="3">
        <v>-44</v>
      </c>
      <c r="U292" s="3">
        <v>-579</v>
      </c>
      <c r="V292" s="3">
        <v>242792.47781941982</v>
      </c>
      <c r="W292" s="22"/>
      <c r="Z292" s="27">
        <f t="shared" si="4"/>
        <v>3.4</v>
      </c>
    </row>
    <row r="293" spans="1:26" ht="20" customHeight="1">
      <c r="A293" s="3" t="s">
        <v>594</v>
      </c>
      <c r="B293" s="3" t="s">
        <v>688</v>
      </c>
      <c r="C293" s="3" t="s">
        <v>689</v>
      </c>
      <c r="D293" s="3" t="s">
        <v>22</v>
      </c>
      <c r="E293" s="3" t="s">
        <v>23</v>
      </c>
      <c r="F293" s="25"/>
      <c r="G293" s="3">
        <v>1</v>
      </c>
      <c r="H293" s="3">
        <v>2</v>
      </c>
      <c r="I293" s="3">
        <v>0</v>
      </c>
      <c r="J293" s="3">
        <v>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18"/>
      <c r="Q293" s="18"/>
      <c r="R293" s="18"/>
      <c r="S293" s="3"/>
      <c r="T293" s="3">
        <v>-1</v>
      </c>
      <c r="U293" s="3">
        <v>-3</v>
      </c>
      <c r="V293" s="3"/>
      <c r="W293" s="22"/>
      <c r="Z293" s="27">
        <f t="shared" si="4"/>
        <v>2</v>
      </c>
    </row>
    <row r="294" spans="1:26" ht="23" customHeight="1">
      <c r="A294" s="3" t="s">
        <v>160</v>
      </c>
      <c r="B294" s="3" t="s">
        <v>690</v>
      </c>
      <c r="C294" s="3" t="s">
        <v>691</v>
      </c>
      <c r="D294" s="3" t="s">
        <v>22</v>
      </c>
      <c r="E294" s="3" t="s">
        <v>23</v>
      </c>
      <c r="F294" s="25"/>
      <c r="G294" s="3">
        <v>1</v>
      </c>
      <c r="H294" s="3">
        <v>6</v>
      </c>
      <c r="I294" s="3">
        <v>0</v>
      </c>
      <c r="J294" s="3">
        <v>4</v>
      </c>
      <c r="K294" s="3">
        <v>0</v>
      </c>
      <c r="L294" s="3">
        <v>0</v>
      </c>
      <c r="M294" s="3">
        <v>0</v>
      </c>
      <c r="N294" s="3">
        <v>0</v>
      </c>
      <c r="O294" s="3">
        <v>2</v>
      </c>
      <c r="P294" s="18"/>
      <c r="Q294" s="18"/>
      <c r="R294" s="18"/>
      <c r="S294" s="3"/>
      <c r="T294" s="3">
        <v>-1</v>
      </c>
      <c r="U294" s="3">
        <v>-6</v>
      </c>
      <c r="V294" s="3"/>
      <c r="W294" s="22"/>
      <c r="Z294" s="27">
        <f t="shared" si="4"/>
        <v>4</v>
      </c>
    </row>
    <row r="295" spans="1:26" ht="23" customHeight="1">
      <c r="A295" s="3" t="s">
        <v>692</v>
      </c>
      <c r="B295" s="3" t="s">
        <v>693</v>
      </c>
      <c r="C295" s="3" t="s">
        <v>694</v>
      </c>
      <c r="D295" s="3" t="s">
        <v>22</v>
      </c>
      <c r="E295" s="3" t="s">
        <v>23</v>
      </c>
      <c r="F295" s="25"/>
      <c r="G295" s="3">
        <v>0</v>
      </c>
      <c r="H295" s="3">
        <v>4</v>
      </c>
      <c r="I295" s="3">
        <v>0</v>
      </c>
      <c r="J295" s="3">
        <v>2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18"/>
      <c r="Q295" s="18"/>
      <c r="R295" s="18"/>
      <c r="S295" s="3"/>
      <c r="T295" s="3">
        <v>-1</v>
      </c>
      <c r="U295" s="3">
        <v>-4</v>
      </c>
      <c r="V295" s="3">
        <v>21919042.0555153</v>
      </c>
      <c r="W295" s="22"/>
      <c r="Z295" s="27" t="e">
        <f t="shared" si="4"/>
        <v>#DIV/0!</v>
      </c>
    </row>
    <row r="296" spans="1:26" ht="23" customHeight="1">
      <c r="A296" s="3" t="s">
        <v>452</v>
      </c>
      <c r="B296" s="3" t="s">
        <v>695</v>
      </c>
      <c r="C296" s="3" t="s">
        <v>696</v>
      </c>
      <c r="D296" s="3" t="s">
        <v>30</v>
      </c>
      <c r="E296" s="3" t="s">
        <v>23</v>
      </c>
      <c r="F296" s="25"/>
      <c r="G296" s="3">
        <v>1</v>
      </c>
      <c r="H296" s="3">
        <v>4</v>
      </c>
      <c r="I296" s="3">
        <v>0</v>
      </c>
      <c r="J296" s="3">
        <v>2</v>
      </c>
      <c r="K296" s="3">
        <v>0</v>
      </c>
      <c r="L296" s="3">
        <v>0</v>
      </c>
      <c r="M296" s="3">
        <v>0</v>
      </c>
      <c r="N296" s="3">
        <v>0</v>
      </c>
      <c r="O296" s="3">
        <v>2</v>
      </c>
      <c r="P296" s="18"/>
      <c r="Q296" s="18"/>
      <c r="R296" s="18"/>
      <c r="S296" s="3"/>
      <c r="T296" s="3">
        <v>0</v>
      </c>
      <c r="U296" s="3">
        <v>-4</v>
      </c>
      <c r="V296" s="3">
        <v>4679611.111111111</v>
      </c>
      <c r="W296" s="22"/>
      <c r="Z296" s="27">
        <f t="shared" si="4"/>
        <v>2</v>
      </c>
    </row>
    <row r="297" spans="1:26" ht="23" customHeight="1">
      <c r="A297" s="3" t="s">
        <v>274</v>
      </c>
      <c r="B297" s="3" t="s">
        <v>697</v>
      </c>
      <c r="C297" s="3" t="s">
        <v>698</v>
      </c>
      <c r="D297" s="3" t="s">
        <v>30</v>
      </c>
      <c r="E297" s="3" t="s">
        <v>23</v>
      </c>
      <c r="F297" s="25"/>
      <c r="G297" s="3">
        <v>1</v>
      </c>
      <c r="H297" s="3">
        <v>3</v>
      </c>
      <c r="I297" s="3">
        <v>0</v>
      </c>
      <c r="J297" s="3">
        <v>3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18"/>
      <c r="Q297" s="18"/>
      <c r="R297" s="18"/>
      <c r="S297" s="3"/>
      <c r="T297" s="3">
        <v>0</v>
      </c>
      <c r="U297" s="3">
        <v>-2</v>
      </c>
      <c r="V297" s="3">
        <v>112051.96672499999</v>
      </c>
      <c r="W297" s="22"/>
      <c r="Z297" s="27">
        <f t="shared" si="4"/>
        <v>3</v>
      </c>
    </row>
    <row r="298" spans="1:26" ht="23" customHeight="1">
      <c r="A298" s="3" t="s">
        <v>699</v>
      </c>
      <c r="B298" s="3" t="s">
        <v>700</v>
      </c>
      <c r="C298" s="3" t="s">
        <v>701</v>
      </c>
      <c r="D298" s="3" t="s">
        <v>30</v>
      </c>
      <c r="E298" s="3" t="s">
        <v>145</v>
      </c>
      <c r="F298" s="25"/>
      <c r="G298" s="3">
        <v>1</v>
      </c>
      <c r="H298" s="3">
        <v>5</v>
      </c>
      <c r="I298" s="3">
        <v>0</v>
      </c>
      <c r="J298" s="3">
        <v>3</v>
      </c>
      <c r="K298" s="3">
        <v>0</v>
      </c>
      <c r="L298" s="3">
        <v>0</v>
      </c>
      <c r="M298" s="3">
        <v>0</v>
      </c>
      <c r="N298" s="3">
        <v>1</v>
      </c>
      <c r="O298" s="3">
        <v>1</v>
      </c>
      <c r="P298" s="18"/>
      <c r="Q298" s="18"/>
      <c r="R298" s="18"/>
      <c r="S298" s="3"/>
      <c r="T298" s="3">
        <v>0</v>
      </c>
      <c r="U298" s="3">
        <v>-5</v>
      </c>
      <c r="V298" s="3">
        <v>675343.88406274375</v>
      </c>
      <c r="W298" s="22"/>
      <c r="Z298" s="27">
        <f t="shared" si="4"/>
        <v>3</v>
      </c>
    </row>
    <row r="299" spans="1:26" ht="23" customHeight="1">
      <c r="A299" s="3" t="s">
        <v>702</v>
      </c>
      <c r="B299" s="3" t="s">
        <v>703</v>
      </c>
      <c r="C299" s="3" t="s">
        <v>704</v>
      </c>
      <c r="D299" s="3" t="s">
        <v>22</v>
      </c>
      <c r="E299" s="3" t="s">
        <v>145</v>
      </c>
      <c r="F299" s="25"/>
      <c r="G299" s="3">
        <v>3</v>
      </c>
      <c r="H299" s="3">
        <v>4</v>
      </c>
      <c r="I299" s="3">
        <v>0</v>
      </c>
      <c r="J299" s="3">
        <v>4</v>
      </c>
      <c r="K299" s="3">
        <v>0</v>
      </c>
      <c r="L299" s="3">
        <v>0</v>
      </c>
      <c r="M299" s="3">
        <v>1</v>
      </c>
      <c r="N299" s="3">
        <v>0</v>
      </c>
      <c r="O299" s="3">
        <v>0</v>
      </c>
      <c r="P299" s="18"/>
      <c r="Q299" s="18"/>
      <c r="R299" s="18"/>
      <c r="S299" s="3"/>
      <c r="T299" s="3">
        <v>-1</v>
      </c>
      <c r="U299" s="3">
        <v>-4</v>
      </c>
      <c r="V299" s="3">
        <v>117614.07295891357</v>
      </c>
      <c r="W299" s="22"/>
      <c r="Z299" s="27">
        <f t="shared" si="4"/>
        <v>1.3333333333333333</v>
      </c>
    </row>
    <row r="300" spans="1:26" ht="23" customHeight="1">
      <c r="A300" s="3" t="s">
        <v>594</v>
      </c>
      <c r="B300" s="3" t="s">
        <v>705</v>
      </c>
      <c r="C300" s="3" t="s">
        <v>706</v>
      </c>
      <c r="D300" s="3" t="s">
        <v>22</v>
      </c>
      <c r="E300" s="3" t="s">
        <v>145</v>
      </c>
      <c r="F300" s="25"/>
      <c r="G300" s="3">
        <v>4</v>
      </c>
      <c r="H300" s="3">
        <v>8</v>
      </c>
      <c r="I300" s="3">
        <v>0</v>
      </c>
      <c r="J300" s="3">
        <v>4</v>
      </c>
      <c r="K300" s="3">
        <v>0</v>
      </c>
      <c r="L300" s="3">
        <v>0</v>
      </c>
      <c r="M300" s="3">
        <v>1</v>
      </c>
      <c r="N300" s="3">
        <v>0</v>
      </c>
      <c r="O300" s="3">
        <v>4</v>
      </c>
      <c r="P300" s="18"/>
      <c r="Q300" s="18"/>
      <c r="R300" s="18"/>
      <c r="S300" s="3"/>
      <c r="T300" s="3">
        <v>-1</v>
      </c>
      <c r="U300" s="3">
        <v>-8</v>
      </c>
      <c r="V300" s="3">
        <v>1548663.8064450622</v>
      </c>
      <c r="W300" s="22"/>
      <c r="Z300" s="27">
        <f t="shared" si="4"/>
        <v>1</v>
      </c>
    </row>
    <row r="301" spans="1:26" ht="23" customHeight="1">
      <c r="A301" s="3" t="s">
        <v>707</v>
      </c>
      <c r="B301" s="3" t="s">
        <v>708</v>
      </c>
      <c r="C301" s="3" t="s">
        <v>709</v>
      </c>
      <c r="D301" s="3" t="s">
        <v>22</v>
      </c>
      <c r="E301" s="3" t="s">
        <v>145</v>
      </c>
      <c r="F301" s="25"/>
      <c r="G301" s="3">
        <v>1</v>
      </c>
      <c r="H301" s="3">
        <v>4</v>
      </c>
      <c r="I301" s="3">
        <v>0</v>
      </c>
      <c r="J301" s="3">
        <v>2</v>
      </c>
      <c r="K301" s="3">
        <v>1</v>
      </c>
      <c r="L301" s="3">
        <v>0</v>
      </c>
      <c r="M301" s="3">
        <v>0</v>
      </c>
      <c r="N301" s="3">
        <v>1</v>
      </c>
      <c r="O301" s="3">
        <v>0</v>
      </c>
      <c r="P301" s="18"/>
      <c r="Q301" s="18"/>
      <c r="R301" s="18"/>
      <c r="S301" s="3">
        <v>1</v>
      </c>
      <c r="T301" s="3">
        <v>-1</v>
      </c>
      <c r="U301" s="3">
        <v>-8</v>
      </c>
      <c r="V301" s="3">
        <v>995703.69600000011</v>
      </c>
      <c r="W301" s="22"/>
      <c r="Z301" s="27">
        <f t="shared" si="4"/>
        <v>2</v>
      </c>
    </row>
    <row r="302" spans="1:26" ht="23" customHeight="1">
      <c r="A302" s="3" t="s">
        <v>594</v>
      </c>
      <c r="B302" s="3" t="s">
        <v>710</v>
      </c>
      <c r="C302" s="3" t="s">
        <v>711</v>
      </c>
      <c r="D302" s="3" t="s">
        <v>22</v>
      </c>
      <c r="E302" s="3" t="s">
        <v>145</v>
      </c>
      <c r="F302" s="25"/>
      <c r="G302" s="3">
        <v>2</v>
      </c>
      <c r="H302" s="3">
        <v>3</v>
      </c>
      <c r="I302" s="3">
        <v>0</v>
      </c>
      <c r="J302" s="3">
        <v>3</v>
      </c>
      <c r="K302" s="3">
        <v>0</v>
      </c>
      <c r="L302" s="3">
        <v>0</v>
      </c>
      <c r="M302" s="3">
        <v>1</v>
      </c>
      <c r="N302" s="3">
        <v>0</v>
      </c>
      <c r="O302" s="3">
        <v>0</v>
      </c>
      <c r="P302" s="18"/>
      <c r="Q302" s="18"/>
      <c r="R302" s="18"/>
      <c r="S302" s="3"/>
      <c r="T302" s="3">
        <v>-1</v>
      </c>
      <c r="U302" s="3">
        <v>-4</v>
      </c>
      <c r="V302" s="3">
        <v>417017.8385365</v>
      </c>
      <c r="W302" s="22"/>
      <c r="Z302" s="27">
        <f t="shared" si="4"/>
        <v>1.5</v>
      </c>
    </row>
    <row r="303" spans="1:26" ht="20" customHeight="1">
      <c r="A303" s="3" t="s">
        <v>274</v>
      </c>
      <c r="B303" s="3" t="s">
        <v>712</v>
      </c>
      <c r="C303" s="3" t="s">
        <v>112</v>
      </c>
      <c r="D303" s="3" t="s">
        <v>22</v>
      </c>
      <c r="E303" s="3" t="s">
        <v>145</v>
      </c>
      <c r="F303" s="25"/>
      <c r="G303" s="3">
        <v>3</v>
      </c>
      <c r="H303" s="3">
        <v>19</v>
      </c>
      <c r="I303" s="3">
        <v>0</v>
      </c>
      <c r="J303" s="3">
        <v>19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18"/>
      <c r="Q303" s="18"/>
      <c r="R303" s="18"/>
      <c r="S303" s="3">
        <v>4</v>
      </c>
      <c r="T303" s="3">
        <v>-1</v>
      </c>
      <c r="U303" s="3">
        <v>-8</v>
      </c>
      <c r="V303" s="3"/>
      <c r="W303" s="22"/>
      <c r="Z303" s="27">
        <f t="shared" si="4"/>
        <v>6.333333333333333</v>
      </c>
    </row>
    <row r="304" spans="1:26" ht="23" customHeight="1">
      <c r="A304" s="3" t="s">
        <v>713</v>
      </c>
      <c r="B304" s="3" t="s">
        <v>714</v>
      </c>
      <c r="C304" s="3" t="s">
        <v>715</v>
      </c>
      <c r="D304" s="3" t="s">
        <v>22</v>
      </c>
      <c r="E304" s="3" t="s">
        <v>23</v>
      </c>
      <c r="F304" s="25"/>
      <c r="G304" s="3">
        <v>1</v>
      </c>
      <c r="H304" s="3">
        <v>5</v>
      </c>
      <c r="I304" s="3">
        <v>0</v>
      </c>
      <c r="J304" s="3">
        <v>2</v>
      </c>
      <c r="K304" s="3">
        <v>0</v>
      </c>
      <c r="L304" s="3">
        <v>0</v>
      </c>
      <c r="M304" s="3">
        <v>0</v>
      </c>
      <c r="N304" s="3">
        <v>0</v>
      </c>
      <c r="O304" s="3">
        <v>3</v>
      </c>
      <c r="P304" s="18"/>
      <c r="Q304" s="18"/>
      <c r="R304" s="18"/>
      <c r="S304" s="3">
        <v>1</v>
      </c>
      <c r="T304" s="3">
        <v>-1</v>
      </c>
      <c r="U304" s="3">
        <v>-3</v>
      </c>
      <c r="V304" s="3">
        <v>1513478.4146</v>
      </c>
      <c r="W304" s="22"/>
      <c r="Z304" s="27">
        <f t="shared" si="4"/>
        <v>2</v>
      </c>
    </row>
    <row r="305" spans="1:26" ht="23" customHeight="1">
      <c r="A305" s="3" t="s">
        <v>713</v>
      </c>
      <c r="B305" s="3" t="s">
        <v>716</v>
      </c>
      <c r="C305" s="3" t="s">
        <v>717</v>
      </c>
      <c r="D305" s="3" t="s">
        <v>22</v>
      </c>
      <c r="E305" s="3" t="s">
        <v>91</v>
      </c>
      <c r="F305" s="25"/>
      <c r="G305" s="3">
        <v>1</v>
      </c>
      <c r="H305" s="3">
        <v>0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18"/>
      <c r="Q305" s="18"/>
      <c r="R305" s="18"/>
      <c r="S305" s="3"/>
      <c r="T305" s="3"/>
      <c r="U305" s="3"/>
      <c r="V305" s="3"/>
      <c r="W305" s="22"/>
      <c r="Z305" s="27">
        <f t="shared" si="4"/>
        <v>0</v>
      </c>
    </row>
    <row r="306" spans="1:26" ht="23" customHeight="1">
      <c r="A306" s="3" t="s">
        <v>718</v>
      </c>
      <c r="B306" s="3" t="s">
        <v>719</v>
      </c>
      <c r="C306" s="3" t="s">
        <v>720</v>
      </c>
      <c r="D306" s="3" t="s">
        <v>22</v>
      </c>
      <c r="E306" s="3" t="s">
        <v>23</v>
      </c>
      <c r="F306" s="25"/>
      <c r="G306" s="3">
        <v>2</v>
      </c>
      <c r="H306" s="3">
        <v>7</v>
      </c>
      <c r="I306" s="3">
        <v>0</v>
      </c>
      <c r="J306" s="3">
        <v>4</v>
      </c>
      <c r="K306" s="3">
        <v>0</v>
      </c>
      <c r="L306" s="3">
        <v>0</v>
      </c>
      <c r="M306" s="3">
        <v>0</v>
      </c>
      <c r="N306" s="3">
        <v>0</v>
      </c>
      <c r="O306" s="3">
        <v>3</v>
      </c>
      <c r="P306" s="18"/>
      <c r="Q306" s="18"/>
      <c r="R306" s="18"/>
      <c r="S306" s="3"/>
      <c r="T306" s="3">
        <v>-1</v>
      </c>
      <c r="U306" s="3">
        <v>-8</v>
      </c>
      <c r="V306" s="3">
        <v>0</v>
      </c>
      <c r="W306" s="22"/>
      <c r="Z306" s="27">
        <f t="shared" si="4"/>
        <v>2</v>
      </c>
    </row>
    <row r="307" spans="1:26" ht="20" customHeight="1">
      <c r="A307" s="3" t="s">
        <v>312</v>
      </c>
      <c r="B307" s="3" t="s">
        <v>721</v>
      </c>
      <c r="C307" s="3" t="s">
        <v>722</v>
      </c>
      <c r="D307" s="3" t="s">
        <v>22</v>
      </c>
      <c r="E307" s="3" t="s">
        <v>23</v>
      </c>
      <c r="F307" s="25"/>
      <c r="G307" s="3">
        <v>5</v>
      </c>
      <c r="H307" s="3">
        <v>24</v>
      </c>
      <c r="I307" s="3">
        <v>0</v>
      </c>
      <c r="J307" s="3">
        <v>4</v>
      </c>
      <c r="K307" s="3">
        <v>0</v>
      </c>
      <c r="L307" s="3">
        <v>0</v>
      </c>
      <c r="M307" s="3">
        <v>0</v>
      </c>
      <c r="N307" s="3">
        <v>14</v>
      </c>
      <c r="O307" s="3">
        <v>6</v>
      </c>
      <c r="P307" s="18"/>
      <c r="Q307" s="18"/>
      <c r="R307" s="18"/>
      <c r="S307" s="3"/>
      <c r="T307" s="3">
        <v>-1</v>
      </c>
      <c r="U307" s="3">
        <v>-14</v>
      </c>
      <c r="V307" s="3">
        <v>59722.26</v>
      </c>
      <c r="W307" s="22"/>
      <c r="Z307" s="27">
        <f t="shared" si="4"/>
        <v>0.8</v>
      </c>
    </row>
    <row r="308" spans="1:26" ht="23" customHeight="1">
      <c r="A308" s="3" t="s">
        <v>723</v>
      </c>
      <c r="B308" s="3" t="s">
        <v>724</v>
      </c>
      <c r="C308" s="3" t="s">
        <v>725</v>
      </c>
      <c r="D308" s="3" t="s">
        <v>22</v>
      </c>
      <c r="E308" s="3" t="s">
        <v>23</v>
      </c>
      <c r="F308" s="25"/>
      <c r="G308" s="3">
        <v>2</v>
      </c>
      <c r="H308" s="3">
        <v>12</v>
      </c>
      <c r="I308" s="3">
        <v>0</v>
      </c>
      <c r="J308" s="3">
        <v>9</v>
      </c>
      <c r="K308" s="3">
        <v>0</v>
      </c>
      <c r="L308" s="3">
        <v>0</v>
      </c>
      <c r="M308" s="3">
        <v>2</v>
      </c>
      <c r="N308" s="3">
        <v>1</v>
      </c>
      <c r="O308" s="3">
        <v>2</v>
      </c>
      <c r="P308" s="18"/>
      <c r="Q308" s="18"/>
      <c r="R308" s="18"/>
      <c r="S308" s="3"/>
      <c r="T308" s="3">
        <v>-1</v>
      </c>
      <c r="U308" s="3">
        <v>-8</v>
      </c>
      <c r="V308" s="3"/>
      <c r="W308" s="22"/>
      <c r="Z308" s="27">
        <f t="shared" si="4"/>
        <v>4.5</v>
      </c>
    </row>
    <row r="309" spans="1:26" ht="23" customHeight="1">
      <c r="A309" s="3" t="s">
        <v>723</v>
      </c>
      <c r="B309" s="3" t="s">
        <v>726</v>
      </c>
      <c r="C309" s="3" t="s">
        <v>725</v>
      </c>
      <c r="D309" s="3" t="s">
        <v>22</v>
      </c>
      <c r="E309" s="3" t="s">
        <v>23</v>
      </c>
      <c r="F309" s="25"/>
      <c r="G309" s="3">
        <v>4</v>
      </c>
      <c r="H309" s="3">
        <v>4</v>
      </c>
      <c r="I309" s="3">
        <v>0</v>
      </c>
      <c r="J309" s="3">
        <v>4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18"/>
      <c r="Q309" s="18"/>
      <c r="R309" s="18"/>
      <c r="S309" s="3"/>
      <c r="T309" s="3">
        <v>0</v>
      </c>
      <c r="U309" s="3">
        <v>-3</v>
      </c>
      <c r="V309" s="3">
        <v>1250129.6812374999</v>
      </c>
      <c r="W309" s="22"/>
      <c r="Z309" s="27">
        <f t="shared" si="4"/>
        <v>1</v>
      </c>
    </row>
    <row r="310" spans="1:26" ht="23" customHeight="1">
      <c r="A310" s="3" t="s">
        <v>727</v>
      </c>
      <c r="B310" s="3" t="s">
        <v>728</v>
      </c>
      <c r="C310" s="3" t="s">
        <v>729</v>
      </c>
      <c r="D310" s="3" t="s">
        <v>22</v>
      </c>
      <c r="E310" s="3" t="s">
        <v>23</v>
      </c>
      <c r="F310" s="25"/>
      <c r="G310" s="3">
        <v>1</v>
      </c>
      <c r="H310" s="3">
        <v>4</v>
      </c>
      <c r="I310" s="3">
        <v>0</v>
      </c>
      <c r="J310" s="3">
        <v>4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18"/>
      <c r="Q310" s="18"/>
      <c r="R310" s="18"/>
      <c r="S310" s="3"/>
      <c r="T310" s="3">
        <v>0</v>
      </c>
      <c r="U310" s="3">
        <v>-1</v>
      </c>
      <c r="V310" s="3">
        <v>187500</v>
      </c>
      <c r="W310" s="22"/>
      <c r="Z310" s="27">
        <f t="shared" si="4"/>
        <v>4</v>
      </c>
    </row>
    <row r="311" spans="1:26" ht="23" customHeight="1">
      <c r="A311" s="3" t="s">
        <v>727</v>
      </c>
      <c r="B311" s="3" t="s">
        <v>730</v>
      </c>
      <c r="C311" s="3" t="s">
        <v>731</v>
      </c>
      <c r="D311" s="3" t="s">
        <v>22</v>
      </c>
      <c r="E311" s="3" t="s">
        <v>23</v>
      </c>
      <c r="F311" s="25"/>
      <c r="G311" s="3">
        <v>1</v>
      </c>
      <c r="H311" s="3">
        <v>1</v>
      </c>
      <c r="I311" s="3">
        <v>0</v>
      </c>
      <c r="J311" s="3">
        <v>1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18"/>
      <c r="Q311" s="18"/>
      <c r="R311" s="18"/>
      <c r="S311" s="3"/>
      <c r="T311" s="3"/>
      <c r="U311" s="3"/>
      <c r="V311" s="3"/>
      <c r="W311" s="22"/>
      <c r="Z311" s="27">
        <f t="shared" si="4"/>
        <v>1</v>
      </c>
    </row>
    <row r="312" spans="1:26" ht="20" customHeight="1">
      <c r="A312" s="3" t="s">
        <v>732</v>
      </c>
      <c r="B312" s="3" t="s">
        <v>733</v>
      </c>
      <c r="C312" s="3" t="s">
        <v>734</v>
      </c>
      <c r="D312" s="3" t="s">
        <v>22</v>
      </c>
      <c r="E312" s="3" t="s">
        <v>23</v>
      </c>
      <c r="F312" s="25"/>
      <c r="G312" s="3">
        <v>1</v>
      </c>
      <c r="H312" s="3">
        <v>1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18"/>
      <c r="Q312" s="18"/>
      <c r="R312" s="18"/>
      <c r="S312" s="3"/>
      <c r="T312" s="3"/>
      <c r="U312" s="3"/>
      <c r="V312" s="3"/>
      <c r="W312" s="22"/>
      <c r="Z312" s="27">
        <f t="shared" si="4"/>
        <v>1</v>
      </c>
    </row>
    <row r="313" spans="1:26" ht="23" customHeight="1">
      <c r="A313" s="3" t="s">
        <v>732</v>
      </c>
      <c r="B313" s="3" t="s">
        <v>735</v>
      </c>
      <c r="C313" s="3" t="s">
        <v>227</v>
      </c>
      <c r="D313" s="3" t="s">
        <v>22</v>
      </c>
      <c r="E313" s="3" t="s">
        <v>23</v>
      </c>
      <c r="F313" s="25"/>
      <c r="G313" s="3">
        <v>1</v>
      </c>
      <c r="H313" s="3">
        <v>4</v>
      </c>
      <c r="I313" s="3">
        <v>0</v>
      </c>
      <c r="J313" s="3">
        <v>2</v>
      </c>
      <c r="K313" s="3">
        <v>0</v>
      </c>
      <c r="L313" s="3">
        <v>0</v>
      </c>
      <c r="M313" s="3">
        <v>0</v>
      </c>
      <c r="N313" s="3">
        <v>0</v>
      </c>
      <c r="O313" s="3">
        <v>2</v>
      </c>
      <c r="P313" s="18"/>
      <c r="Q313" s="18"/>
      <c r="R313" s="18"/>
      <c r="S313" s="3"/>
      <c r="T313" s="3">
        <v>-1</v>
      </c>
      <c r="U313" s="3">
        <v>-3</v>
      </c>
      <c r="V313" s="3">
        <v>485289.95600000006</v>
      </c>
      <c r="W313" s="22"/>
      <c r="Z313" s="27">
        <f t="shared" si="4"/>
        <v>2</v>
      </c>
    </row>
    <row r="314" spans="1:26" ht="23" customHeight="1">
      <c r="A314" s="3" t="s">
        <v>732</v>
      </c>
      <c r="B314" s="3" t="s">
        <v>736</v>
      </c>
      <c r="C314" s="3" t="s">
        <v>737</v>
      </c>
      <c r="D314" s="3" t="s">
        <v>22</v>
      </c>
      <c r="E314" s="3" t="s">
        <v>23</v>
      </c>
      <c r="F314" s="25"/>
      <c r="G314" s="3">
        <v>1</v>
      </c>
      <c r="H314" s="3">
        <v>7</v>
      </c>
      <c r="I314" s="3">
        <v>0</v>
      </c>
      <c r="J314" s="3">
        <v>5</v>
      </c>
      <c r="K314" s="3">
        <v>0</v>
      </c>
      <c r="L314" s="3">
        <v>0</v>
      </c>
      <c r="M314" s="3">
        <v>0</v>
      </c>
      <c r="N314" s="3">
        <v>0</v>
      </c>
      <c r="O314" s="3">
        <v>2</v>
      </c>
      <c r="P314" s="18"/>
      <c r="Q314" s="18"/>
      <c r="R314" s="18"/>
      <c r="S314" s="3"/>
      <c r="T314" s="3">
        <v>-1</v>
      </c>
      <c r="U314" s="3">
        <v>-4</v>
      </c>
      <c r="V314" s="3">
        <v>928929.52000000014</v>
      </c>
      <c r="W314" s="22"/>
      <c r="Z314" s="27">
        <f t="shared" si="4"/>
        <v>5</v>
      </c>
    </row>
    <row r="315" spans="1:26" ht="23" customHeight="1">
      <c r="A315" s="3" t="s">
        <v>200</v>
      </c>
      <c r="B315" s="3" t="s">
        <v>738</v>
      </c>
      <c r="C315" s="3" t="s">
        <v>739</v>
      </c>
      <c r="D315" s="3" t="s">
        <v>22</v>
      </c>
      <c r="E315" s="3" t="s">
        <v>23</v>
      </c>
      <c r="F315" s="25"/>
      <c r="G315" s="3">
        <v>2</v>
      </c>
      <c r="H315" s="3">
        <v>5</v>
      </c>
      <c r="I315" s="3">
        <v>0</v>
      </c>
      <c r="J315" s="3">
        <v>2</v>
      </c>
      <c r="K315" s="3">
        <v>0</v>
      </c>
      <c r="L315" s="3">
        <v>0</v>
      </c>
      <c r="M315" s="3">
        <v>0</v>
      </c>
      <c r="N315" s="3">
        <v>0</v>
      </c>
      <c r="O315" s="3">
        <v>3</v>
      </c>
      <c r="P315" s="18"/>
      <c r="Q315" s="18"/>
      <c r="R315" s="18"/>
      <c r="S315" s="3"/>
      <c r="T315" s="3">
        <v>0</v>
      </c>
      <c r="U315" s="3">
        <v>-5</v>
      </c>
      <c r="V315" s="3">
        <v>86556.98</v>
      </c>
      <c r="W315" s="22"/>
      <c r="Z315" s="27">
        <f t="shared" si="4"/>
        <v>1</v>
      </c>
    </row>
    <row r="316" spans="1:26" ht="23" customHeight="1">
      <c r="A316" s="3" t="s">
        <v>160</v>
      </c>
      <c r="B316" s="3" t="s">
        <v>740</v>
      </c>
      <c r="C316" s="3" t="s">
        <v>741</v>
      </c>
      <c r="D316" s="3" t="s">
        <v>22</v>
      </c>
      <c r="E316" s="3" t="s">
        <v>23</v>
      </c>
      <c r="F316" s="25"/>
      <c r="G316" s="3">
        <v>1</v>
      </c>
      <c r="H316" s="3">
        <v>2</v>
      </c>
      <c r="I316" s="3">
        <v>0</v>
      </c>
      <c r="J316" s="3">
        <v>2</v>
      </c>
      <c r="K316" s="3">
        <v>0</v>
      </c>
      <c r="L316" s="3">
        <v>0</v>
      </c>
      <c r="M316" s="3">
        <v>1</v>
      </c>
      <c r="N316" s="3">
        <v>0</v>
      </c>
      <c r="O316" s="3">
        <v>0</v>
      </c>
      <c r="P316" s="18"/>
      <c r="Q316" s="18"/>
      <c r="R316" s="18"/>
      <c r="S316" s="3"/>
      <c r="T316" s="3">
        <v>0</v>
      </c>
      <c r="U316" s="3">
        <v>-2</v>
      </c>
      <c r="V316" s="3">
        <v>570991.04</v>
      </c>
      <c r="W316" s="22"/>
      <c r="Z316" s="27">
        <f t="shared" si="4"/>
        <v>2</v>
      </c>
    </row>
    <row r="317" spans="1:26" ht="23" customHeight="1">
      <c r="A317" s="3" t="s">
        <v>742</v>
      </c>
      <c r="B317" s="3" t="s">
        <v>743</v>
      </c>
      <c r="C317" s="3" t="s">
        <v>744</v>
      </c>
      <c r="D317" s="3" t="s">
        <v>22</v>
      </c>
      <c r="E317" s="3" t="s">
        <v>23</v>
      </c>
      <c r="F317" s="25"/>
      <c r="G317" s="3">
        <v>1</v>
      </c>
      <c r="H317" s="3">
        <v>1</v>
      </c>
      <c r="I317" s="3">
        <v>0</v>
      </c>
      <c r="J317" s="3">
        <v>1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18"/>
      <c r="Q317" s="18"/>
      <c r="R317" s="18"/>
      <c r="S317" s="3"/>
      <c r="T317" s="3"/>
      <c r="U317" s="3"/>
      <c r="V317" s="3">
        <v>2356244.8250000002</v>
      </c>
      <c r="W317" s="22"/>
      <c r="Z317" s="27">
        <f t="shared" si="4"/>
        <v>1</v>
      </c>
    </row>
    <row r="318" spans="1:26" ht="23" customHeight="1">
      <c r="A318" s="3" t="s">
        <v>702</v>
      </c>
      <c r="B318" s="3" t="s">
        <v>745</v>
      </c>
      <c r="C318" s="3" t="s">
        <v>746</v>
      </c>
      <c r="D318" s="3" t="s">
        <v>22</v>
      </c>
      <c r="E318" s="3" t="s">
        <v>23</v>
      </c>
      <c r="F318" s="25"/>
      <c r="G318" s="3">
        <v>1</v>
      </c>
      <c r="H318" s="3">
        <v>5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0</v>
      </c>
      <c r="O318" s="3">
        <v>4</v>
      </c>
      <c r="P318" s="18"/>
      <c r="Q318" s="18"/>
      <c r="R318" s="18"/>
      <c r="S318" s="3"/>
      <c r="T318" s="3">
        <v>0</v>
      </c>
      <c r="U318" s="3">
        <v>-4</v>
      </c>
      <c r="V318" s="3"/>
      <c r="W318" s="22"/>
      <c r="Z318" s="27">
        <f t="shared" si="4"/>
        <v>1</v>
      </c>
    </row>
    <row r="319" spans="1:26" ht="23" customHeight="1">
      <c r="A319" s="3" t="s">
        <v>747</v>
      </c>
      <c r="B319" s="3" t="s">
        <v>748</v>
      </c>
      <c r="C319" s="3" t="s">
        <v>749</v>
      </c>
      <c r="D319" s="3" t="s">
        <v>22</v>
      </c>
      <c r="E319" s="3" t="s">
        <v>23</v>
      </c>
      <c r="F319" s="25"/>
      <c r="G319" s="3">
        <v>2</v>
      </c>
      <c r="H319" s="3">
        <v>10</v>
      </c>
      <c r="I319" s="3">
        <v>0</v>
      </c>
      <c r="J319" s="3">
        <v>8</v>
      </c>
      <c r="K319" s="3">
        <v>0</v>
      </c>
      <c r="L319" s="3">
        <v>0</v>
      </c>
      <c r="M319" s="3">
        <v>0</v>
      </c>
      <c r="N319" s="3">
        <v>0</v>
      </c>
      <c r="O319" s="3">
        <v>2</v>
      </c>
      <c r="P319" s="18"/>
      <c r="Q319" s="18"/>
      <c r="R319" s="18"/>
      <c r="S319" s="3">
        <v>1</v>
      </c>
      <c r="T319" s="3">
        <v>0</v>
      </c>
      <c r="U319" s="3">
        <v>-3</v>
      </c>
      <c r="V319" s="3"/>
      <c r="W319" s="22"/>
      <c r="Z319" s="27">
        <f t="shared" si="4"/>
        <v>4</v>
      </c>
    </row>
    <row r="320" spans="1:26" ht="23" customHeight="1">
      <c r="A320" s="3" t="s">
        <v>594</v>
      </c>
      <c r="B320" s="3" t="s">
        <v>750</v>
      </c>
      <c r="C320" s="3" t="s">
        <v>751</v>
      </c>
      <c r="D320" s="3" t="s">
        <v>22</v>
      </c>
      <c r="E320" s="3" t="s">
        <v>23</v>
      </c>
      <c r="F320" s="25"/>
      <c r="G320" s="3">
        <v>1</v>
      </c>
      <c r="H320" s="3">
        <v>5</v>
      </c>
      <c r="I320" s="3">
        <v>0</v>
      </c>
      <c r="J320" s="3">
        <v>4</v>
      </c>
      <c r="K320" s="3">
        <v>0</v>
      </c>
      <c r="L320" s="3">
        <v>0</v>
      </c>
      <c r="M320" s="3">
        <v>0</v>
      </c>
      <c r="N320" s="3">
        <v>0</v>
      </c>
      <c r="O320" s="3">
        <v>1</v>
      </c>
      <c r="P320" s="18"/>
      <c r="Q320" s="18"/>
      <c r="R320" s="18"/>
      <c r="S320" s="3"/>
      <c r="T320" s="3">
        <v>0</v>
      </c>
      <c r="U320" s="3">
        <v>-3</v>
      </c>
      <c r="V320" s="3">
        <v>1127345.6235</v>
      </c>
      <c r="W320" s="22"/>
      <c r="Z320" s="27">
        <f t="shared" si="4"/>
        <v>4</v>
      </c>
    </row>
    <row r="321" spans="1:27" ht="23" customHeight="1">
      <c r="A321" s="3" t="s">
        <v>271</v>
      </c>
      <c r="B321" s="3" t="s">
        <v>752</v>
      </c>
      <c r="C321" s="3" t="s">
        <v>753</v>
      </c>
      <c r="D321" s="3" t="s">
        <v>22</v>
      </c>
      <c r="E321" s="3" t="s">
        <v>23</v>
      </c>
      <c r="F321" s="25"/>
      <c r="G321" s="3">
        <v>1</v>
      </c>
      <c r="H321" s="3">
        <v>2</v>
      </c>
      <c r="I321" s="3">
        <v>0</v>
      </c>
      <c r="J321" s="3">
        <v>1</v>
      </c>
      <c r="K321" s="3">
        <v>0</v>
      </c>
      <c r="L321" s="3">
        <v>0</v>
      </c>
      <c r="M321" s="3">
        <v>0</v>
      </c>
      <c r="N321" s="3">
        <v>0</v>
      </c>
      <c r="O321" s="3">
        <v>1</v>
      </c>
      <c r="P321" s="18"/>
      <c r="Q321" s="18"/>
      <c r="R321" s="18"/>
      <c r="S321" s="3"/>
      <c r="T321" s="3">
        <v>-1</v>
      </c>
      <c r="U321" s="3">
        <v>-4</v>
      </c>
      <c r="V321" s="3">
        <v>16036125.265019</v>
      </c>
      <c r="W321" s="22"/>
      <c r="Z321" s="27">
        <f t="shared" si="4"/>
        <v>1</v>
      </c>
    </row>
    <row r="322" spans="1:27" ht="23" customHeight="1">
      <c r="A322" s="3" t="s">
        <v>271</v>
      </c>
      <c r="B322" s="3" t="s">
        <v>754</v>
      </c>
      <c r="C322" s="3" t="s">
        <v>755</v>
      </c>
      <c r="D322" s="3" t="s">
        <v>22</v>
      </c>
      <c r="E322" s="3" t="s">
        <v>23</v>
      </c>
      <c r="F322" s="25"/>
      <c r="G322" s="3">
        <v>1</v>
      </c>
      <c r="H322" s="3">
        <v>3</v>
      </c>
      <c r="I322" s="3">
        <v>0</v>
      </c>
      <c r="J322" s="3">
        <v>3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18"/>
      <c r="Q322" s="18"/>
      <c r="R322" s="18"/>
      <c r="S322" s="3"/>
      <c r="T322" s="3">
        <v>0</v>
      </c>
      <c r="U322" s="3">
        <v>-4</v>
      </c>
      <c r="V322" s="3">
        <v>6284680.5</v>
      </c>
      <c r="W322" s="22"/>
      <c r="Z322" s="27">
        <f t="shared" si="4"/>
        <v>3</v>
      </c>
    </row>
    <row r="323" spans="1:27" ht="20" customHeight="1">
      <c r="A323" s="3" t="s">
        <v>756</v>
      </c>
      <c r="B323" s="3" t="s">
        <v>757</v>
      </c>
      <c r="C323" s="3" t="s">
        <v>80</v>
      </c>
      <c r="D323" s="3" t="s">
        <v>22</v>
      </c>
      <c r="E323" s="3" t="s">
        <v>23</v>
      </c>
      <c r="F323" s="25"/>
      <c r="G323" s="3">
        <v>2</v>
      </c>
      <c r="H323" s="3">
        <v>2</v>
      </c>
      <c r="I323" s="3">
        <v>0</v>
      </c>
      <c r="J323" s="3">
        <v>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18"/>
      <c r="Q323" s="18"/>
      <c r="R323" s="18"/>
      <c r="S323" s="3"/>
      <c r="T323" s="3"/>
      <c r="U323" s="3"/>
      <c r="V323" s="3"/>
      <c r="W323" s="22"/>
      <c r="Z323" s="27">
        <f t="shared" si="4"/>
        <v>1</v>
      </c>
    </row>
    <row r="324" spans="1:27" ht="23" customHeight="1">
      <c r="A324" s="3" t="s">
        <v>583</v>
      </c>
      <c r="B324" s="3" t="s">
        <v>758</v>
      </c>
      <c r="C324" s="3" t="s">
        <v>585</v>
      </c>
      <c r="D324" s="3" t="s">
        <v>30</v>
      </c>
      <c r="E324" s="3" t="s">
        <v>23</v>
      </c>
      <c r="F324" s="25"/>
      <c r="G324" s="3">
        <v>5</v>
      </c>
      <c r="H324" s="3">
        <v>5</v>
      </c>
      <c r="I324" s="3">
        <v>0</v>
      </c>
      <c r="J324" s="3">
        <v>5</v>
      </c>
      <c r="K324" s="3">
        <v>0</v>
      </c>
      <c r="L324" s="3">
        <v>2</v>
      </c>
      <c r="M324" s="3">
        <v>0</v>
      </c>
      <c r="N324" s="3">
        <v>0</v>
      </c>
      <c r="O324" s="3">
        <v>0</v>
      </c>
      <c r="P324" s="18"/>
      <c r="Q324" s="18"/>
      <c r="R324" s="18"/>
      <c r="S324" s="3">
        <v>1</v>
      </c>
      <c r="T324" s="3">
        <v>0</v>
      </c>
      <c r="U324" s="3">
        <v>-4</v>
      </c>
      <c r="V324" s="3">
        <v>69777.916755555561</v>
      </c>
      <c r="W324" s="22"/>
      <c r="Z324" s="27">
        <f t="shared" ref="Z324:Z387" si="5">J324/G324</f>
        <v>1</v>
      </c>
    </row>
    <row r="325" spans="1:27" ht="23" customHeight="1">
      <c r="A325" s="3" t="s">
        <v>315</v>
      </c>
      <c r="B325" s="3" t="s">
        <v>759</v>
      </c>
      <c r="C325" s="3" t="s">
        <v>585</v>
      </c>
      <c r="D325" s="3" t="s">
        <v>30</v>
      </c>
      <c r="E325" s="3" t="s">
        <v>23</v>
      </c>
      <c r="F325" s="25"/>
      <c r="G325" s="3">
        <v>6</v>
      </c>
      <c r="H325" s="3">
        <v>24</v>
      </c>
      <c r="I325" s="3">
        <v>0</v>
      </c>
      <c r="J325" s="3">
        <v>2</v>
      </c>
      <c r="K325" s="3">
        <v>0</v>
      </c>
      <c r="L325" s="3">
        <v>0</v>
      </c>
      <c r="M325" s="3">
        <v>0</v>
      </c>
      <c r="N325" s="3">
        <v>7</v>
      </c>
      <c r="O325" s="3">
        <v>15</v>
      </c>
      <c r="P325" s="18"/>
      <c r="Q325" s="18"/>
      <c r="R325" s="18"/>
      <c r="S325" s="3"/>
      <c r="T325" s="3">
        <v>-4</v>
      </c>
      <c r="U325" s="3">
        <v>-40</v>
      </c>
      <c r="V325" s="3">
        <v>103874.69212643453</v>
      </c>
      <c r="W325" s="22"/>
      <c r="Z325" s="27">
        <f t="shared" si="5"/>
        <v>0.33333333333333331</v>
      </c>
    </row>
    <row r="326" spans="1:27" ht="23" customHeight="1">
      <c r="A326" s="3" t="s">
        <v>96</v>
      </c>
      <c r="B326" s="3" t="s">
        <v>760</v>
      </c>
      <c r="C326" s="3" t="s">
        <v>761</v>
      </c>
      <c r="D326" s="3" t="s">
        <v>22</v>
      </c>
      <c r="E326" s="3" t="s">
        <v>23</v>
      </c>
      <c r="F326" s="25"/>
      <c r="G326" s="3">
        <v>2</v>
      </c>
      <c r="H326" s="3">
        <v>6</v>
      </c>
      <c r="I326" s="3">
        <v>0</v>
      </c>
      <c r="J326" s="3">
        <v>6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18"/>
      <c r="Q326" s="18"/>
      <c r="R326" s="18"/>
      <c r="S326" s="3"/>
      <c r="T326" s="3">
        <v>0</v>
      </c>
      <c r="U326" s="3">
        <v>-1</v>
      </c>
      <c r="V326" s="3">
        <v>549854.74498666672</v>
      </c>
      <c r="W326" s="22"/>
      <c r="Z326" s="27">
        <f t="shared" si="5"/>
        <v>3</v>
      </c>
    </row>
    <row r="327" spans="1:27" ht="20" customHeight="1">
      <c r="A327" s="3" t="s">
        <v>513</v>
      </c>
      <c r="B327" s="3" t="s">
        <v>762</v>
      </c>
      <c r="C327" s="3" t="s">
        <v>515</v>
      </c>
      <c r="D327" s="3" t="s">
        <v>22</v>
      </c>
      <c r="E327" s="3" t="s">
        <v>23</v>
      </c>
      <c r="F327" s="25"/>
      <c r="G327" s="3">
        <v>2</v>
      </c>
      <c r="H327" s="3">
        <v>12</v>
      </c>
      <c r="I327" s="3">
        <v>0</v>
      </c>
      <c r="J327" s="3">
        <v>7</v>
      </c>
      <c r="K327" s="3">
        <v>0</v>
      </c>
      <c r="L327" s="3">
        <v>0</v>
      </c>
      <c r="M327" s="3">
        <v>0</v>
      </c>
      <c r="N327" s="3">
        <v>1</v>
      </c>
      <c r="O327" s="3">
        <v>4</v>
      </c>
      <c r="P327" s="18"/>
      <c r="Q327" s="18"/>
      <c r="R327" s="18"/>
      <c r="S327" s="3"/>
      <c r="T327" s="3">
        <v>0</v>
      </c>
      <c r="U327" s="3">
        <v>-16</v>
      </c>
      <c r="V327" s="3"/>
      <c r="W327" s="22"/>
      <c r="Z327" s="27">
        <f t="shared" si="5"/>
        <v>3.5</v>
      </c>
    </row>
    <row r="328" spans="1:27" ht="20" customHeight="1">
      <c r="A328" s="3" t="s">
        <v>763</v>
      </c>
      <c r="B328" s="3" t="s">
        <v>764</v>
      </c>
      <c r="C328" s="3" t="s">
        <v>765</v>
      </c>
      <c r="D328" s="3" t="s">
        <v>22</v>
      </c>
      <c r="E328" s="3" t="s">
        <v>23</v>
      </c>
      <c r="F328" s="25"/>
      <c r="G328" s="3">
        <v>3</v>
      </c>
      <c r="H328" s="3">
        <v>16</v>
      </c>
      <c r="I328" s="3">
        <v>0</v>
      </c>
      <c r="J328" s="3">
        <v>14</v>
      </c>
      <c r="K328" s="3">
        <v>0</v>
      </c>
      <c r="L328" s="3">
        <v>0</v>
      </c>
      <c r="M328" s="3">
        <v>0</v>
      </c>
      <c r="N328" s="3">
        <v>0</v>
      </c>
      <c r="O328" s="3">
        <v>2</v>
      </c>
      <c r="P328" s="18"/>
      <c r="Q328" s="18"/>
      <c r="R328" s="18"/>
      <c r="S328" s="3"/>
      <c r="T328" s="3">
        <v>-1</v>
      </c>
      <c r="U328" s="3">
        <v>-9</v>
      </c>
      <c r="V328" s="3">
        <v>291008.3</v>
      </c>
      <c r="W328" s="22"/>
      <c r="Z328" s="27">
        <f t="shared" si="5"/>
        <v>4.666666666666667</v>
      </c>
    </row>
    <row r="329" spans="1:27" ht="23" customHeight="1">
      <c r="A329" s="3" t="s">
        <v>763</v>
      </c>
      <c r="B329" s="3" t="s">
        <v>766</v>
      </c>
      <c r="C329" s="3" t="s">
        <v>767</v>
      </c>
      <c r="D329" s="3" t="s">
        <v>22</v>
      </c>
      <c r="E329" s="3" t="s">
        <v>23</v>
      </c>
      <c r="F329" s="25"/>
      <c r="G329" s="3">
        <v>4</v>
      </c>
      <c r="H329" s="3">
        <v>13</v>
      </c>
      <c r="I329" s="3">
        <v>0</v>
      </c>
      <c r="J329" s="3">
        <v>10</v>
      </c>
      <c r="K329" s="3">
        <v>0</v>
      </c>
      <c r="L329" s="3">
        <v>0</v>
      </c>
      <c r="M329" s="3">
        <v>0</v>
      </c>
      <c r="N329" s="3">
        <v>1</v>
      </c>
      <c r="O329" s="3">
        <v>2</v>
      </c>
      <c r="P329" s="18"/>
      <c r="Q329" s="18"/>
      <c r="R329" s="18"/>
      <c r="S329" s="3"/>
      <c r="T329" s="3">
        <v>-1</v>
      </c>
      <c r="U329" s="3">
        <v>-5</v>
      </c>
      <c r="V329" s="3">
        <v>74212.764735999997</v>
      </c>
      <c r="W329" s="22"/>
      <c r="Z329" s="27">
        <f t="shared" si="5"/>
        <v>2.5</v>
      </c>
    </row>
    <row r="330" spans="1:27" ht="23" customHeight="1">
      <c r="A330" s="3" t="s">
        <v>768</v>
      </c>
      <c r="B330" s="3" t="s">
        <v>769</v>
      </c>
      <c r="C330" s="3" t="s">
        <v>770</v>
      </c>
      <c r="D330" s="3" t="s">
        <v>22</v>
      </c>
      <c r="E330" s="3" t="s">
        <v>23</v>
      </c>
      <c r="F330" s="25"/>
      <c r="G330" s="3">
        <v>2</v>
      </c>
      <c r="H330" s="3">
        <v>4</v>
      </c>
      <c r="I330" s="3">
        <v>0</v>
      </c>
      <c r="J330" s="3">
        <v>4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18"/>
      <c r="Q330" s="18"/>
      <c r="R330" s="18"/>
      <c r="S330" s="3"/>
      <c r="T330" s="3"/>
      <c r="U330" s="3"/>
      <c r="V330" s="3">
        <v>78364.406666666662</v>
      </c>
      <c r="W330" s="22"/>
      <c r="Z330" s="27">
        <f t="shared" si="5"/>
        <v>2</v>
      </c>
    </row>
    <row r="331" spans="1:27" ht="23" customHeight="1">
      <c r="A331" s="3" t="s">
        <v>768</v>
      </c>
      <c r="B331" s="3" t="s">
        <v>771</v>
      </c>
      <c r="C331" s="3" t="s">
        <v>772</v>
      </c>
      <c r="D331" s="3" t="s">
        <v>22</v>
      </c>
      <c r="E331" s="3" t="s">
        <v>23</v>
      </c>
      <c r="F331" s="25"/>
      <c r="G331" s="3">
        <v>2</v>
      </c>
      <c r="H331" s="3">
        <v>5</v>
      </c>
      <c r="I331" s="3">
        <v>0</v>
      </c>
      <c r="J331" s="3">
        <v>5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18"/>
      <c r="Q331" s="18"/>
      <c r="R331" s="18"/>
      <c r="S331" s="3"/>
      <c r="T331" s="3">
        <v>0</v>
      </c>
      <c r="U331" s="3">
        <v>-5</v>
      </c>
      <c r="V331" s="3">
        <v>322133.72499999998</v>
      </c>
      <c r="W331" s="22"/>
      <c r="Z331" s="27">
        <f t="shared" si="5"/>
        <v>2.5</v>
      </c>
    </row>
    <row r="332" spans="1:27" ht="23" customHeight="1">
      <c r="A332" s="3" t="s">
        <v>478</v>
      </c>
      <c r="B332" s="3" t="s">
        <v>773</v>
      </c>
      <c r="C332" s="3" t="s">
        <v>774</v>
      </c>
      <c r="D332" s="3" t="s">
        <v>22</v>
      </c>
      <c r="E332" s="3" t="s">
        <v>23</v>
      </c>
      <c r="F332" s="25"/>
      <c r="G332" s="3">
        <v>1</v>
      </c>
      <c r="H332" s="3">
        <v>1</v>
      </c>
      <c r="I332" s="3">
        <v>0</v>
      </c>
      <c r="J332" s="3">
        <v>1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18"/>
      <c r="Q332" s="18"/>
      <c r="R332" s="18"/>
      <c r="S332" s="3"/>
      <c r="T332" s="3"/>
      <c r="U332" s="3"/>
      <c r="V332" s="3">
        <v>0</v>
      </c>
      <c r="W332" s="22"/>
      <c r="Z332" s="27">
        <f t="shared" si="5"/>
        <v>1</v>
      </c>
    </row>
    <row r="333" spans="1:27" ht="23" customHeight="1">
      <c r="A333" s="3" t="s">
        <v>775</v>
      </c>
      <c r="B333" s="3" t="s">
        <v>776</v>
      </c>
      <c r="C333" s="3" t="s">
        <v>777</v>
      </c>
      <c r="D333" s="3" t="s">
        <v>22</v>
      </c>
      <c r="E333" s="3" t="s">
        <v>23</v>
      </c>
      <c r="F333" s="25"/>
      <c r="G333" s="3">
        <v>2</v>
      </c>
      <c r="H333" s="3">
        <v>6</v>
      </c>
      <c r="I333" s="3">
        <v>0</v>
      </c>
      <c r="J333" s="3">
        <v>2</v>
      </c>
      <c r="K333" s="3">
        <v>0</v>
      </c>
      <c r="L333" s="3">
        <v>0</v>
      </c>
      <c r="M333" s="3">
        <v>1</v>
      </c>
      <c r="N333" s="3">
        <v>2</v>
      </c>
      <c r="O333" s="3">
        <v>2</v>
      </c>
      <c r="P333" s="18"/>
      <c r="Q333" s="18"/>
      <c r="R333" s="18"/>
      <c r="S333" s="3">
        <v>1</v>
      </c>
      <c r="T333" s="3">
        <v>-1</v>
      </c>
      <c r="U333" s="3">
        <v>-8</v>
      </c>
      <c r="V333" s="3">
        <v>8200366.5999999996</v>
      </c>
      <c r="W333" s="22"/>
      <c r="Z333" s="27">
        <f t="shared" si="5"/>
        <v>1</v>
      </c>
      <c r="AA333" s="19">
        <v>1</v>
      </c>
    </row>
    <row r="334" spans="1:27" ht="23" customHeight="1">
      <c r="A334" s="3" t="s">
        <v>778</v>
      </c>
      <c r="B334" s="3" t="s">
        <v>779</v>
      </c>
      <c r="C334" s="3" t="s">
        <v>780</v>
      </c>
      <c r="D334" s="3" t="s">
        <v>22</v>
      </c>
      <c r="E334" s="3" t="s">
        <v>23</v>
      </c>
      <c r="F334" s="25"/>
      <c r="G334" s="3">
        <v>2</v>
      </c>
      <c r="H334" s="3">
        <v>2</v>
      </c>
      <c r="I334" s="3">
        <v>0</v>
      </c>
      <c r="J334" s="3">
        <v>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18"/>
      <c r="Q334" s="18"/>
      <c r="R334" s="18"/>
      <c r="S334" s="3"/>
      <c r="T334" s="3"/>
      <c r="U334" s="3"/>
      <c r="V334" s="3">
        <v>103269.47266666667</v>
      </c>
      <c r="W334" s="22"/>
      <c r="Z334" s="27">
        <f t="shared" si="5"/>
        <v>1</v>
      </c>
    </row>
    <row r="335" spans="1:27" ht="23" customHeight="1">
      <c r="A335" s="3" t="s">
        <v>88</v>
      </c>
      <c r="B335" s="3" t="s">
        <v>781</v>
      </c>
      <c r="C335" s="3" t="s">
        <v>782</v>
      </c>
      <c r="D335" s="3" t="s">
        <v>22</v>
      </c>
      <c r="E335" s="3" t="s">
        <v>23</v>
      </c>
      <c r="F335" s="25"/>
      <c r="G335" s="3">
        <v>2</v>
      </c>
      <c r="H335" s="3">
        <v>6</v>
      </c>
      <c r="I335" s="3">
        <v>0</v>
      </c>
      <c r="J335" s="3">
        <v>6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18"/>
      <c r="Q335" s="18"/>
      <c r="R335" s="18"/>
      <c r="S335" s="3"/>
      <c r="T335" s="3">
        <v>0</v>
      </c>
      <c r="U335" s="3">
        <v>-1</v>
      </c>
      <c r="V335" s="3">
        <v>284158.15999999997</v>
      </c>
      <c r="W335" s="22"/>
      <c r="Z335" s="27">
        <f t="shared" si="5"/>
        <v>3</v>
      </c>
    </row>
    <row r="336" spans="1:27" ht="20" customHeight="1">
      <c r="A336" s="3" t="s">
        <v>692</v>
      </c>
      <c r="B336" s="3" t="s">
        <v>783</v>
      </c>
      <c r="C336" s="3" t="s">
        <v>784</v>
      </c>
      <c r="D336" s="3" t="s">
        <v>22</v>
      </c>
      <c r="E336" s="3" t="s">
        <v>23</v>
      </c>
      <c r="F336" s="25"/>
      <c r="G336" s="3">
        <v>0</v>
      </c>
      <c r="H336" s="3">
        <v>2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2</v>
      </c>
      <c r="P336" s="18"/>
      <c r="Q336" s="18"/>
      <c r="R336" s="18"/>
      <c r="S336" s="3"/>
      <c r="T336" s="3">
        <v>-1</v>
      </c>
      <c r="U336" s="3">
        <v>-3</v>
      </c>
      <c r="V336" s="3"/>
      <c r="W336" s="22"/>
      <c r="Z336" s="27" t="e">
        <f t="shared" si="5"/>
        <v>#DIV/0!</v>
      </c>
    </row>
    <row r="337" spans="1:27" ht="23" customHeight="1">
      <c r="A337" s="3" t="s">
        <v>713</v>
      </c>
      <c r="B337" s="3" t="s">
        <v>785</v>
      </c>
      <c r="C337" s="3" t="s">
        <v>786</v>
      </c>
      <c r="D337" s="3" t="s">
        <v>22</v>
      </c>
      <c r="E337" s="3" t="s">
        <v>23</v>
      </c>
      <c r="F337" s="25"/>
      <c r="G337" s="3">
        <v>1</v>
      </c>
      <c r="H337" s="3">
        <v>4</v>
      </c>
      <c r="I337" s="3">
        <v>0</v>
      </c>
      <c r="J337" s="3">
        <v>3</v>
      </c>
      <c r="K337" s="3">
        <v>0</v>
      </c>
      <c r="L337" s="3">
        <v>0</v>
      </c>
      <c r="M337" s="3">
        <v>1</v>
      </c>
      <c r="N337" s="3">
        <v>0</v>
      </c>
      <c r="O337" s="3">
        <v>1</v>
      </c>
      <c r="P337" s="18"/>
      <c r="Q337" s="18"/>
      <c r="R337" s="18"/>
      <c r="S337" s="3"/>
      <c r="T337" s="3">
        <v>0</v>
      </c>
      <c r="U337" s="3">
        <v>-2</v>
      </c>
      <c r="V337" s="3">
        <v>468000</v>
      </c>
      <c r="W337" s="22"/>
      <c r="Z337" s="27">
        <f t="shared" si="5"/>
        <v>3</v>
      </c>
    </row>
    <row r="338" spans="1:27" ht="23" customHeight="1">
      <c r="A338" s="3" t="s">
        <v>775</v>
      </c>
      <c r="B338" s="3" t="s">
        <v>787</v>
      </c>
      <c r="C338" s="3" t="s">
        <v>788</v>
      </c>
      <c r="D338" s="3" t="s">
        <v>22</v>
      </c>
      <c r="E338" s="3" t="s">
        <v>23</v>
      </c>
      <c r="F338" s="25"/>
      <c r="G338" s="3">
        <v>2</v>
      </c>
      <c r="H338" s="3">
        <v>7</v>
      </c>
      <c r="I338" s="3">
        <v>0</v>
      </c>
      <c r="J338" s="3">
        <v>3</v>
      </c>
      <c r="K338" s="3">
        <v>0</v>
      </c>
      <c r="L338" s="3">
        <v>0</v>
      </c>
      <c r="M338" s="3">
        <v>0</v>
      </c>
      <c r="N338" s="3">
        <v>0</v>
      </c>
      <c r="O338" s="3">
        <v>4</v>
      </c>
      <c r="P338" s="18"/>
      <c r="Q338" s="18"/>
      <c r="R338" s="18"/>
      <c r="S338" s="3"/>
      <c r="T338" s="3">
        <v>0</v>
      </c>
      <c r="U338" s="3">
        <v>-6</v>
      </c>
      <c r="V338" s="3">
        <v>1222614.5178499999</v>
      </c>
      <c r="W338" s="22"/>
      <c r="Z338" s="27">
        <f t="shared" si="5"/>
        <v>1.5</v>
      </c>
    </row>
    <row r="339" spans="1:27" ht="20" customHeight="1">
      <c r="A339" s="3" t="s">
        <v>599</v>
      </c>
      <c r="B339" s="3" t="s">
        <v>789</v>
      </c>
      <c r="C339" s="3" t="s">
        <v>790</v>
      </c>
      <c r="D339" s="3" t="s">
        <v>22</v>
      </c>
      <c r="E339" s="3" t="s">
        <v>23</v>
      </c>
      <c r="F339" s="25"/>
      <c r="G339" s="3">
        <v>1</v>
      </c>
      <c r="H339" s="3">
        <v>4</v>
      </c>
      <c r="I339" s="3">
        <v>0</v>
      </c>
      <c r="J339" s="3">
        <v>2</v>
      </c>
      <c r="K339" s="3">
        <v>0</v>
      </c>
      <c r="L339" s="3">
        <v>0</v>
      </c>
      <c r="M339" s="3">
        <v>0</v>
      </c>
      <c r="N339" s="3">
        <v>0</v>
      </c>
      <c r="O339" s="3">
        <v>2</v>
      </c>
      <c r="P339" s="18"/>
      <c r="Q339" s="18"/>
      <c r="R339" s="18"/>
      <c r="S339" s="3">
        <v>1</v>
      </c>
      <c r="T339" s="3">
        <v>0</v>
      </c>
      <c r="U339" s="3">
        <v>-4</v>
      </c>
      <c r="V339" s="3">
        <v>67833.149999999994</v>
      </c>
      <c r="W339" s="22"/>
      <c r="Z339" s="27">
        <f t="shared" si="5"/>
        <v>2</v>
      </c>
    </row>
    <row r="340" spans="1:27" ht="23" customHeight="1">
      <c r="A340" s="3" t="s">
        <v>791</v>
      </c>
      <c r="B340" s="3" t="s">
        <v>792</v>
      </c>
      <c r="C340" s="3" t="s">
        <v>196</v>
      </c>
      <c r="D340" s="3" t="s">
        <v>22</v>
      </c>
      <c r="E340" s="3" t="s">
        <v>23</v>
      </c>
      <c r="F340" s="25"/>
      <c r="G340" s="3">
        <v>4</v>
      </c>
      <c r="H340" s="3">
        <v>7</v>
      </c>
      <c r="I340" s="3">
        <v>0</v>
      </c>
      <c r="J340" s="3">
        <v>7</v>
      </c>
      <c r="K340" s="3">
        <v>0</v>
      </c>
      <c r="L340" s="3">
        <v>1</v>
      </c>
      <c r="M340" s="3">
        <v>0</v>
      </c>
      <c r="N340" s="3">
        <v>0</v>
      </c>
      <c r="O340" s="3">
        <v>0</v>
      </c>
      <c r="P340" s="18"/>
      <c r="Q340" s="18"/>
      <c r="R340" s="18"/>
      <c r="S340" s="3"/>
      <c r="T340" s="3">
        <v>-1</v>
      </c>
      <c r="U340" s="3">
        <v>-7</v>
      </c>
      <c r="V340" s="3">
        <v>411303.29541209439</v>
      </c>
      <c r="W340" s="22"/>
      <c r="Z340" s="27">
        <f t="shared" si="5"/>
        <v>1.75</v>
      </c>
    </row>
    <row r="341" spans="1:27" ht="23" customHeight="1">
      <c r="A341" s="3" t="s">
        <v>793</v>
      </c>
      <c r="B341" s="3" t="s">
        <v>794</v>
      </c>
      <c r="C341" s="3" t="s">
        <v>196</v>
      </c>
      <c r="D341" s="3" t="s">
        <v>22</v>
      </c>
      <c r="E341" s="3" t="s">
        <v>23</v>
      </c>
      <c r="F341" s="25"/>
      <c r="G341" s="3">
        <v>1</v>
      </c>
      <c r="H341" s="3">
        <v>3</v>
      </c>
      <c r="I341" s="3">
        <v>0</v>
      </c>
      <c r="J341" s="3">
        <v>3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18"/>
      <c r="Q341" s="18"/>
      <c r="R341" s="18"/>
      <c r="S341" s="3"/>
      <c r="T341" s="3"/>
      <c r="U341" s="3"/>
      <c r="V341" s="3">
        <v>373770.46688932495</v>
      </c>
      <c r="W341" s="22"/>
      <c r="Z341" s="27">
        <f t="shared" si="5"/>
        <v>3</v>
      </c>
    </row>
    <row r="342" spans="1:27" ht="23" customHeight="1">
      <c r="A342" s="3" t="s">
        <v>329</v>
      </c>
      <c r="B342" s="3" t="s">
        <v>795</v>
      </c>
      <c r="C342" s="3" t="s">
        <v>364</v>
      </c>
      <c r="D342" s="3" t="s">
        <v>22</v>
      </c>
      <c r="E342" s="3" t="s">
        <v>23</v>
      </c>
      <c r="F342" s="25"/>
      <c r="G342" s="3">
        <v>1</v>
      </c>
      <c r="H342" s="3">
        <v>1</v>
      </c>
      <c r="I342" s="3">
        <v>0</v>
      </c>
      <c r="J342" s="3">
        <v>1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18"/>
      <c r="Q342" s="18"/>
      <c r="R342" s="18"/>
      <c r="S342" s="3"/>
      <c r="T342" s="3">
        <v>0</v>
      </c>
      <c r="U342" s="3">
        <v>-1</v>
      </c>
      <c r="V342" s="3">
        <v>518635.19124999997</v>
      </c>
      <c r="W342" s="22"/>
      <c r="Z342" s="27">
        <f t="shared" si="5"/>
        <v>1</v>
      </c>
    </row>
    <row r="343" spans="1:27" ht="20" customHeight="1">
      <c r="A343" s="3" t="s">
        <v>329</v>
      </c>
      <c r="B343" s="3" t="s">
        <v>796</v>
      </c>
      <c r="C343" s="3" t="s">
        <v>364</v>
      </c>
      <c r="D343" s="3" t="s">
        <v>22</v>
      </c>
      <c r="E343" s="3" t="s">
        <v>23</v>
      </c>
      <c r="F343" s="25"/>
      <c r="G343" s="3">
        <v>2</v>
      </c>
      <c r="H343" s="3">
        <v>3</v>
      </c>
      <c r="I343" s="3">
        <v>0</v>
      </c>
      <c r="J343" s="3">
        <v>2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18"/>
      <c r="Q343" s="18"/>
      <c r="R343" s="18"/>
      <c r="S343" s="3"/>
      <c r="T343" s="3"/>
      <c r="U343" s="3"/>
      <c r="V343" s="3"/>
      <c r="W343" s="22"/>
      <c r="Z343" s="27">
        <f t="shared" si="5"/>
        <v>1</v>
      </c>
    </row>
    <row r="344" spans="1:27" ht="20" customHeight="1">
      <c r="A344" s="3" t="s">
        <v>329</v>
      </c>
      <c r="B344" s="3" t="s">
        <v>797</v>
      </c>
      <c r="C344" s="3" t="s">
        <v>364</v>
      </c>
      <c r="D344" s="3" t="s">
        <v>22</v>
      </c>
      <c r="E344" s="3" t="s">
        <v>23</v>
      </c>
      <c r="F344" s="25"/>
      <c r="G344" s="3">
        <v>2</v>
      </c>
      <c r="H344" s="3">
        <v>3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3</v>
      </c>
      <c r="O344" s="3">
        <v>0</v>
      </c>
      <c r="P344" s="18"/>
      <c r="Q344" s="18"/>
      <c r="R344" s="18"/>
      <c r="S344" s="3">
        <v>4</v>
      </c>
      <c r="T344" s="3">
        <v>0</v>
      </c>
      <c r="U344" s="3">
        <v>-4</v>
      </c>
      <c r="V344" s="3"/>
      <c r="W344" s="22"/>
      <c r="Z344" s="27">
        <f t="shared" si="5"/>
        <v>0</v>
      </c>
      <c r="AA344" s="19">
        <v>1</v>
      </c>
    </row>
    <row r="345" spans="1:27" ht="20" customHeight="1">
      <c r="A345" s="3" t="s">
        <v>329</v>
      </c>
      <c r="B345" s="3" t="s">
        <v>798</v>
      </c>
      <c r="C345" s="3" t="s">
        <v>364</v>
      </c>
      <c r="D345" s="3" t="s">
        <v>22</v>
      </c>
      <c r="E345" s="3" t="s">
        <v>23</v>
      </c>
      <c r="F345" s="25"/>
      <c r="G345" s="3">
        <v>2</v>
      </c>
      <c r="H345" s="3">
        <v>2</v>
      </c>
      <c r="I345" s="3">
        <v>0</v>
      </c>
      <c r="J345" s="3">
        <v>1</v>
      </c>
      <c r="K345" s="3">
        <v>0</v>
      </c>
      <c r="L345" s="3">
        <v>0</v>
      </c>
      <c r="M345" s="3">
        <v>0</v>
      </c>
      <c r="N345" s="3">
        <v>1</v>
      </c>
      <c r="O345" s="3">
        <v>0</v>
      </c>
      <c r="P345" s="18"/>
      <c r="Q345" s="18"/>
      <c r="R345" s="18"/>
      <c r="S345" s="3">
        <v>1</v>
      </c>
      <c r="T345" s="3">
        <v>0</v>
      </c>
      <c r="U345" s="3">
        <v>-1</v>
      </c>
      <c r="V345" s="3">
        <v>706490.08</v>
      </c>
      <c r="W345" s="22"/>
      <c r="Z345" s="27">
        <f t="shared" si="5"/>
        <v>0.5</v>
      </c>
    </row>
    <row r="346" spans="1:27" ht="20" customHeight="1">
      <c r="A346" s="3" t="s">
        <v>329</v>
      </c>
      <c r="B346" s="3" t="s">
        <v>799</v>
      </c>
      <c r="C346" s="3" t="s">
        <v>364</v>
      </c>
      <c r="D346" s="3" t="s">
        <v>22</v>
      </c>
      <c r="E346" s="3" t="s">
        <v>23</v>
      </c>
      <c r="F346" s="25"/>
      <c r="G346" s="3">
        <v>2</v>
      </c>
      <c r="H346" s="3">
        <v>3</v>
      </c>
      <c r="I346" s="3">
        <v>0</v>
      </c>
      <c r="J346" s="3">
        <v>2</v>
      </c>
      <c r="K346" s="3">
        <v>0</v>
      </c>
      <c r="L346" s="3">
        <v>0</v>
      </c>
      <c r="M346" s="3">
        <v>0</v>
      </c>
      <c r="N346" s="3">
        <v>1</v>
      </c>
      <c r="O346" s="3">
        <v>0</v>
      </c>
      <c r="P346" s="18"/>
      <c r="Q346" s="18"/>
      <c r="R346" s="18"/>
      <c r="S346" s="3"/>
      <c r="T346" s="3"/>
      <c r="U346" s="3"/>
      <c r="V346" s="3">
        <v>2416389.2000000002</v>
      </c>
      <c r="W346" s="22"/>
      <c r="Z346" s="27">
        <f t="shared" si="5"/>
        <v>1</v>
      </c>
    </row>
    <row r="347" spans="1:27" ht="23" customHeight="1">
      <c r="A347" s="3" t="s">
        <v>800</v>
      </c>
      <c r="B347" s="3" t="s">
        <v>801</v>
      </c>
      <c r="C347" s="3" t="s">
        <v>802</v>
      </c>
      <c r="D347" s="3" t="s">
        <v>22</v>
      </c>
      <c r="E347" s="3" t="s">
        <v>23</v>
      </c>
      <c r="F347" s="25"/>
      <c r="G347" s="3">
        <v>1</v>
      </c>
      <c r="H347" s="3">
        <v>4</v>
      </c>
      <c r="I347" s="3">
        <v>0</v>
      </c>
      <c r="J347" s="3">
        <v>3</v>
      </c>
      <c r="K347" s="3">
        <v>0</v>
      </c>
      <c r="L347" s="3">
        <v>0</v>
      </c>
      <c r="M347" s="3">
        <v>0</v>
      </c>
      <c r="N347" s="3">
        <v>1</v>
      </c>
      <c r="O347" s="3">
        <v>0</v>
      </c>
      <c r="P347" s="18"/>
      <c r="Q347" s="18"/>
      <c r="R347" s="18"/>
      <c r="S347" s="3"/>
      <c r="T347" s="3">
        <v>0</v>
      </c>
      <c r="U347" s="3">
        <v>-1</v>
      </c>
      <c r="V347" s="3">
        <v>285119.06475000002</v>
      </c>
      <c r="W347" s="22"/>
      <c r="Z347" s="27">
        <f t="shared" si="5"/>
        <v>3</v>
      </c>
    </row>
    <row r="348" spans="1:27" ht="23" customHeight="1">
      <c r="A348" s="3" t="s">
        <v>803</v>
      </c>
      <c r="B348" s="3" t="s">
        <v>804</v>
      </c>
      <c r="C348" s="3" t="s">
        <v>805</v>
      </c>
      <c r="D348" s="3" t="s">
        <v>22</v>
      </c>
      <c r="E348" s="3" t="s">
        <v>23</v>
      </c>
      <c r="F348" s="25"/>
      <c r="G348" s="3">
        <v>1</v>
      </c>
      <c r="H348" s="3">
        <v>3</v>
      </c>
      <c r="I348" s="3">
        <v>0</v>
      </c>
      <c r="J348" s="3">
        <v>3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18"/>
      <c r="Q348" s="18"/>
      <c r="R348" s="18"/>
      <c r="S348" s="3"/>
      <c r="T348" s="3"/>
      <c r="U348" s="3"/>
      <c r="V348" s="3">
        <v>303945.34833333333</v>
      </c>
      <c r="W348" s="22"/>
      <c r="Z348" s="27">
        <f t="shared" si="5"/>
        <v>3</v>
      </c>
    </row>
    <row r="349" spans="1:27" ht="20" customHeight="1">
      <c r="A349" s="3" t="s">
        <v>88</v>
      </c>
      <c r="B349" s="3" t="s">
        <v>806</v>
      </c>
      <c r="C349" s="3" t="s">
        <v>807</v>
      </c>
      <c r="D349" s="3" t="s">
        <v>22</v>
      </c>
      <c r="E349" s="3" t="s">
        <v>23</v>
      </c>
      <c r="F349" s="25"/>
      <c r="G349" s="3">
        <v>1</v>
      </c>
      <c r="H349" s="3">
        <v>2</v>
      </c>
      <c r="I349" s="3">
        <v>0</v>
      </c>
      <c r="J349" s="3">
        <v>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18"/>
      <c r="Q349" s="18"/>
      <c r="R349" s="18"/>
      <c r="S349" s="3"/>
      <c r="T349" s="3">
        <v>0</v>
      </c>
      <c r="U349" s="3">
        <v>-1</v>
      </c>
      <c r="V349" s="3"/>
      <c r="W349" s="22"/>
      <c r="Z349" s="27">
        <f t="shared" si="5"/>
        <v>2</v>
      </c>
    </row>
    <row r="350" spans="1:27" ht="20" customHeight="1">
      <c r="A350" s="3" t="s">
        <v>88</v>
      </c>
      <c r="B350" s="3" t="s">
        <v>808</v>
      </c>
      <c r="C350" s="3" t="s">
        <v>809</v>
      </c>
      <c r="D350" s="3" t="s">
        <v>22</v>
      </c>
      <c r="E350" s="3" t="s">
        <v>145</v>
      </c>
      <c r="F350" s="25"/>
      <c r="G350" s="3">
        <v>1</v>
      </c>
      <c r="H350" s="3">
        <v>3</v>
      </c>
      <c r="I350" s="3">
        <v>0</v>
      </c>
      <c r="J350" s="3">
        <v>3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18"/>
      <c r="Q350" s="18"/>
      <c r="R350" s="18"/>
      <c r="S350" s="3"/>
      <c r="T350" s="3">
        <v>0</v>
      </c>
      <c r="U350" s="3">
        <v>-2</v>
      </c>
      <c r="V350" s="3">
        <v>998514.31680000003</v>
      </c>
      <c r="W350" s="22"/>
      <c r="Z350" s="27">
        <f t="shared" si="5"/>
        <v>3</v>
      </c>
    </row>
    <row r="351" spans="1:27" ht="23" customHeight="1">
      <c r="A351" s="3" t="s">
        <v>88</v>
      </c>
      <c r="B351" s="3" t="s">
        <v>810</v>
      </c>
      <c r="C351" s="3" t="s">
        <v>807</v>
      </c>
      <c r="D351" s="3" t="s">
        <v>22</v>
      </c>
      <c r="E351" s="3" t="s">
        <v>23</v>
      </c>
      <c r="F351" s="25"/>
      <c r="G351" s="3">
        <v>1</v>
      </c>
      <c r="H351" s="3">
        <v>10</v>
      </c>
      <c r="I351" s="3">
        <v>0</v>
      </c>
      <c r="J351" s="3">
        <v>10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18"/>
      <c r="Q351" s="18"/>
      <c r="R351" s="18"/>
      <c r="S351" s="3"/>
      <c r="T351" s="3">
        <v>0</v>
      </c>
      <c r="U351" s="3">
        <v>-2</v>
      </c>
      <c r="V351" s="3">
        <v>413444.18955555558</v>
      </c>
      <c r="W351" s="22"/>
      <c r="Z351" s="27">
        <f t="shared" si="5"/>
        <v>10</v>
      </c>
    </row>
    <row r="352" spans="1:27" ht="23" customHeight="1">
      <c r="A352" s="3" t="s">
        <v>132</v>
      </c>
      <c r="B352" s="3" t="s">
        <v>811</v>
      </c>
      <c r="C352" s="3" t="s">
        <v>812</v>
      </c>
      <c r="D352" s="3" t="s">
        <v>22</v>
      </c>
      <c r="E352" s="3" t="s">
        <v>23</v>
      </c>
      <c r="F352" s="25"/>
      <c r="G352" s="3">
        <v>1</v>
      </c>
      <c r="H352" s="3">
        <v>5</v>
      </c>
      <c r="I352" s="3">
        <v>0</v>
      </c>
      <c r="J352" s="3">
        <v>4</v>
      </c>
      <c r="K352" s="3">
        <v>0</v>
      </c>
      <c r="L352" s="3">
        <v>0</v>
      </c>
      <c r="M352" s="3">
        <v>0</v>
      </c>
      <c r="N352" s="3">
        <v>0</v>
      </c>
      <c r="O352" s="3">
        <v>1</v>
      </c>
      <c r="P352" s="18"/>
      <c r="Q352" s="18"/>
      <c r="R352" s="18"/>
      <c r="S352" s="3"/>
      <c r="T352" s="3">
        <v>0</v>
      </c>
      <c r="U352" s="3">
        <v>-3</v>
      </c>
      <c r="V352" s="3">
        <v>0</v>
      </c>
      <c r="W352" s="22"/>
      <c r="Z352" s="27">
        <f t="shared" si="5"/>
        <v>4</v>
      </c>
    </row>
    <row r="353" spans="1:27" ht="20" customHeight="1">
      <c r="A353" s="3" t="s">
        <v>813</v>
      </c>
      <c r="B353" s="3" t="s">
        <v>814</v>
      </c>
      <c r="C353" s="3" t="s">
        <v>815</v>
      </c>
      <c r="D353" s="3" t="s">
        <v>22</v>
      </c>
      <c r="E353" s="3" t="s">
        <v>23</v>
      </c>
      <c r="F353" s="25"/>
      <c r="G353" s="3">
        <v>4</v>
      </c>
      <c r="H353" s="3">
        <v>21</v>
      </c>
      <c r="I353" s="3">
        <v>0</v>
      </c>
      <c r="J353" s="3">
        <v>13</v>
      </c>
      <c r="K353" s="3">
        <v>0</v>
      </c>
      <c r="L353" s="3">
        <v>0</v>
      </c>
      <c r="M353" s="3">
        <v>0</v>
      </c>
      <c r="N353" s="3">
        <v>0</v>
      </c>
      <c r="O353" s="3">
        <v>8</v>
      </c>
      <c r="P353" s="18"/>
      <c r="Q353" s="18"/>
      <c r="R353" s="18"/>
      <c r="S353" s="3"/>
      <c r="T353" s="3">
        <v>-3</v>
      </c>
      <c r="U353" s="3">
        <v>-23</v>
      </c>
      <c r="V353" s="3">
        <v>917898.94400000002</v>
      </c>
      <c r="W353" s="22"/>
      <c r="Z353" s="27">
        <f t="shared" si="5"/>
        <v>3.25</v>
      </c>
    </row>
    <row r="354" spans="1:27" ht="34" customHeight="1">
      <c r="A354" s="3" t="s">
        <v>19</v>
      </c>
      <c r="B354" s="3" t="s">
        <v>816</v>
      </c>
      <c r="C354" s="3" t="s">
        <v>817</v>
      </c>
      <c r="D354" s="3" t="s">
        <v>22</v>
      </c>
      <c r="E354" s="3" t="s">
        <v>23</v>
      </c>
      <c r="F354" s="25"/>
      <c r="G354" s="3">
        <v>1</v>
      </c>
      <c r="H354" s="3">
        <v>26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10</v>
      </c>
      <c r="O354" s="3">
        <v>16</v>
      </c>
      <c r="P354" s="18"/>
      <c r="Q354" s="18"/>
      <c r="R354" s="18"/>
      <c r="S354" s="3">
        <v>1</v>
      </c>
      <c r="T354" s="3">
        <v>-2</v>
      </c>
      <c r="U354" s="3">
        <v>-8</v>
      </c>
      <c r="V354" s="3">
        <v>7160967.8599999994</v>
      </c>
      <c r="W354" s="22"/>
      <c r="Z354" s="27">
        <f t="shared" si="5"/>
        <v>0</v>
      </c>
      <c r="AA354" s="19">
        <v>1</v>
      </c>
    </row>
    <row r="355" spans="1:27" ht="20" customHeight="1">
      <c r="A355" s="3" t="s">
        <v>818</v>
      </c>
      <c r="B355" s="3" t="s">
        <v>819</v>
      </c>
      <c r="C355" s="3" t="s">
        <v>820</v>
      </c>
      <c r="D355" s="3" t="s">
        <v>22</v>
      </c>
      <c r="E355" s="3" t="s">
        <v>23</v>
      </c>
      <c r="F355" s="25"/>
      <c r="G355" s="3">
        <v>1</v>
      </c>
      <c r="H355" s="3">
        <v>11</v>
      </c>
      <c r="I355" s="3">
        <v>0</v>
      </c>
      <c r="J355" s="3">
        <v>1</v>
      </c>
      <c r="K355" s="3">
        <v>1</v>
      </c>
      <c r="L355" s="3">
        <v>0</v>
      </c>
      <c r="M355" s="3">
        <v>0</v>
      </c>
      <c r="N355" s="3">
        <v>1</v>
      </c>
      <c r="O355" s="3">
        <v>8</v>
      </c>
      <c r="P355" s="18"/>
      <c r="Q355" s="18"/>
      <c r="R355" s="18"/>
      <c r="S355" s="3"/>
      <c r="T355" s="3">
        <v>0</v>
      </c>
      <c r="U355" s="3">
        <v>-9</v>
      </c>
      <c r="V355" s="3"/>
      <c r="W355" s="22"/>
      <c r="Z355" s="27">
        <f t="shared" si="5"/>
        <v>1</v>
      </c>
    </row>
    <row r="356" spans="1:27" ht="23" customHeight="1">
      <c r="A356" s="3" t="s">
        <v>821</v>
      </c>
      <c r="B356" s="3" t="s">
        <v>822</v>
      </c>
      <c r="C356" s="3" t="s">
        <v>823</v>
      </c>
      <c r="D356" s="3" t="s">
        <v>22</v>
      </c>
      <c r="E356" s="3" t="s">
        <v>23</v>
      </c>
      <c r="F356" s="25"/>
      <c r="G356" s="3">
        <v>2</v>
      </c>
      <c r="H356" s="3">
        <v>5</v>
      </c>
      <c r="I356" s="3">
        <v>0</v>
      </c>
      <c r="J356" s="3">
        <v>4</v>
      </c>
      <c r="K356" s="3">
        <v>1</v>
      </c>
      <c r="L356" s="3">
        <v>0</v>
      </c>
      <c r="M356" s="3">
        <v>1</v>
      </c>
      <c r="N356" s="3">
        <v>0</v>
      </c>
      <c r="O356" s="3">
        <v>0</v>
      </c>
      <c r="P356" s="18"/>
      <c r="Q356" s="18"/>
      <c r="R356" s="18"/>
      <c r="S356" s="3"/>
      <c r="T356" s="3">
        <v>-1</v>
      </c>
      <c r="U356" s="3">
        <v>-2</v>
      </c>
      <c r="V356" s="3">
        <v>53196.33</v>
      </c>
      <c r="W356" s="22"/>
      <c r="Z356" s="27">
        <f t="shared" si="5"/>
        <v>2</v>
      </c>
    </row>
    <row r="357" spans="1:27" ht="23" customHeight="1">
      <c r="A357" s="3" t="s">
        <v>197</v>
      </c>
      <c r="B357" s="3" t="s">
        <v>824</v>
      </c>
      <c r="C357" s="3" t="s">
        <v>825</v>
      </c>
      <c r="D357" s="3" t="s">
        <v>30</v>
      </c>
      <c r="E357" s="3" t="s">
        <v>23</v>
      </c>
      <c r="F357" s="25"/>
      <c r="G357" s="3">
        <v>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18"/>
      <c r="Q357" s="18"/>
      <c r="R357" s="18"/>
      <c r="S357" s="3">
        <v>1</v>
      </c>
      <c r="T357" s="3"/>
      <c r="U357" s="3"/>
      <c r="V357" s="3"/>
      <c r="W357" s="22"/>
      <c r="Z357" s="27">
        <f t="shared" si="5"/>
        <v>0</v>
      </c>
      <c r="AA357" s="19">
        <v>1</v>
      </c>
    </row>
    <row r="358" spans="1:27" ht="23" customHeight="1">
      <c r="A358" s="3" t="s">
        <v>197</v>
      </c>
      <c r="B358" s="3" t="s">
        <v>826</v>
      </c>
      <c r="C358" s="3" t="s">
        <v>827</v>
      </c>
      <c r="D358" s="3" t="s">
        <v>22</v>
      </c>
      <c r="E358" s="3" t="s">
        <v>23</v>
      </c>
      <c r="F358" s="25"/>
      <c r="G358" s="3">
        <v>1</v>
      </c>
      <c r="H358" s="3">
        <v>1</v>
      </c>
      <c r="I358" s="3">
        <v>0</v>
      </c>
      <c r="J358" s="3">
        <v>1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18"/>
      <c r="Q358" s="18"/>
      <c r="R358" s="18"/>
      <c r="S358" s="3"/>
      <c r="T358" s="3"/>
      <c r="U358" s="3"/>
      <c r="V358" s="3"/>
      <c r="W358" s="22"/>
      <c r="Z358" s="27">
        <f t="shared" si="5"/>
        <v>1</v>
      </c>
    </row>
    <row r="359" spans="1:27" ht="23" customHeight="1">
      <c r="A359" s="3" t="s">
        <v>39</v>
      </c>
      <c r="B359" s="3" t="s">
        <v>828</v>
      </c>
      <c r="C359" s="3" t="s">
        <v>829</v>
      </c>
      <c r="D359" s="3" t="s">
        <v>22</v>
      </c>
      <c r="E359" s="3" t="s">
        <v>23</v>
      </c>
      <c r="F359" s="25"/>
      <c r="G359" s="3">
        <v>2</v>
      </c>
      <c r="H359" s="3">
        <v>4</v>
      </c>
      <c r="I359" s="3">
        <v>0</v>
      </c>
      <c r="J359" s="3">
        <v>3</v>
      </c>
      <c r="K359" s="3">
        <v>0</v>
      </c>
      <c r="L359" s="3">
        <v>0</v>
      </c>
      <c r="M359" s="3">
        <v>0</v>
      </c>
      <c r="N359" s="3">
        <v>0</v>
      </c>
      <c r="O359" s="3">
        <v>1</v>
      </c>
      <c r="P359" s="18"/>
      <c r="Q359" s="18"/>
      <c r="R359" s="18"/>
      <c r="S359" s="3"/>
      <c r="T359" s="3">
        <v>0</v>
      </c>
      <c r="U359" s="3">
        <v>-2</v>
      </c>
      <c r="V359" s="3">
        <v>76650</v>
      </c>
      <c r="W359" s="22"/>
      <c r="Z359" s="27">
        <f t="shared" si="5"/>
        <v>1.5</v>
      </c>
    </row>
    <row r="360" spans="1:27" ht="23" customHeight="1">
      <c r="A360" s="3" t="s">
        <v>274</v>
      </c>
      <c r="B360" s="3" t="s">
        <v>830</v>
      </c>
      <c r="C360" s="3" t="s">
        <v>831</v>
      </c>
      <c r="D360" s="3" t="s">
        <v>22</v>
      </c>
      <c r="E360" s="3" t="s">
        <v>23</v>
      </c>
      <c r="F360" s="25"/>
      <c r="G360" s="3">
        <v>1</v>
      </c>
      <c r="H360" s="3">
        <v>7</v>
      </c>
      <c r="I360" s="3">
        <v>0</v>
      </c>
      <c r="J360" s="3">
        <v>4</v>
      </c>
      <c r="K360" s="3">
        <v>0</v>
      </c>
      <c r="L360" s="3">
        <v>0</v>
      </c>
      <c r="M360" s="3">
        <v>0</v>
      </c>
      <c r="N360" s="3">
        <v>0</v>
      </c>
      <c r="O360" s="3">
        <v>3</v>
      </c>
      <c r="P360" s="18"/>
      <c r="Q360" s="18"/>
      <c r="R360" s="18"/>
      <c r="S360" s="3"/>
      <c r="T360" s="3">
        <v>0</v>
      </c>
      <c r="U360" s="3">
        <v>-4</v>
      </c>
      <c r="V360" s="3">
        <v>516547.23330000002</v>
      </c>
      <c r="W360" s="22"/>
      <c r="Z360" s="27">
        <f t="shared" si="5"/>
        <v>4</v>
      </c>
    </row>
    <row r="361" spans="1:27" ht="23" customHeight="1">
      <c r="A361" s="3" t="s">
        <v>699</v>
      </c>
      <c r="B361" s="3" t="s">
        <v>832</v>
      </c>
      <c r="C361" s="3" t="s">
        <v>833</v>
      </c>
      <c r="D361" s="3" t="s">
        <v>22</v>
      </c>
      <c r="E361" s="3" t="s">
        <v>23</v>
      </c>
      <c r="F361" s="25"/>
      <c r="G361" s="3">
        <v>1</v>
      </c>
      <c r="H361" s="3">
        <v>3</v>
      </c>
      <c r="I361" s="3">
        <v>0</v>
      </c>
      <c r="J361" s="3">
        <v>2</v>
      </c>
      <c r="K361" s="3">
        <v>0</v>
      </c>
      <c r="L361" s="3">
        <v>0</v>
      </c>
      <c r="M361" s="3">
        <v>0</v>
      </c>
      <c r="N361" s="3">
        <v>0</v>
      </c>
      <c r="O361" s="3">
        <v>1</v>
      </c>
      <c r="P361" s="18"/>
      <c r="Q361" s="18"/>
      <c r="R361" s="18"/>
      <c r="S361" s="3">
        <v>1</v>
      </c>
      <c r="T361" s="3">
        <v>0</v>
      </c>
      <c r="U361" s="3">
        <v>-2</v>
      </c>
      <c r="V361" s="3">
        <v>676077.86705166672</v>
      </c>
      <c r="W361" s="22"/>
      <c r="Z361" s="27">
        <f t="shared" si="5"/>
        <v>2</v>
      </c>
    </row>
    <row r="362" spans="1:27" ht="23" customHeight="1">
      <c r="A362" s="3" t="s">
        <v>800</v>
      </c>
      <c r="B362" s="3" t="s">
        <v>834</v>
      </c>
      <c r="C362" s="3" t="s">
        <v>835</v>
      </c>
      <c r="D362" s="3" t="s">
        <v>22</v>
      </c>
      <c r="E362" s="3" t="s">
        <v>23</v>
      </c>
      <c r="F362" s="25"/>
      <c r="G362" s="3">
        <v>1</v>
      </c>
      <c r="H362" s="3">
        <v>3</v>
      </c>
      <c r="I362" s="3">
        <v>0</v>
      </c>
      <c r="J362" s="3">
        <v>3</v>
      </c>
      <c r="K362" s="3">
        <v>0</v>
      </c>
      <c r="L362" s="3">
        <v>0</v>
      </c>
      <c r="M362" s="3">
        <v>1</v>
      </c>
      <c r="N362" s="3">
        <v>0</v>
      </c>
      <c r="O362" s="3">
        <v>0</v>
      </c>
      <c r="P362" s="18"/>
      <c r="Q362" s="18"/>
      <c r="R362" s="18"/>
      <c r="S362" s="3"/>
      <c r="T362" s="3">
        <v>0</v>
      </c>
      <c r="U362" s="3">
        <v>-2</v>
      </c>
      <c r="V362" s="3">
        <v>773366.70435599994</v>
      </c>
      <c r="W362" s="22"/>
      <c r="Z362" s="27">
        <f t="shared" si="5"/>
        <v>3</v>
      </c>
    </row>
    <row r="363" spans="1:27" ht="23" customHeight="1">
      <c r="A363" s="3" t="s">
        <v>274</v>
      </c>
      <c r="B363" s="3" t="s">
        <v>836</v>
      </c>
      <c r="C363" s="3" t="s">
        <v>837</v>
      </c>
      <c r="D363" s="3" t="s">
        <v>30</v>
      </c>
      <c r="E363" s="3" t="s">
        <v>23</v>
      </c>
      <c r="F363" s="25"/>
      <c r="G363" s="3">
        <v>3</v>
      </c>
      <c r="H363" s="3">
        <v>4</v>
      </c>
      <c r="I363" s="3">
        <v>0</v>
      </c>
      <c r="J363" s="3">
        <v>4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18"/>
      <c r="Q363" s="18"/>
      <c r="R363" s="18"/>
      <c r="S363" s="3"/>
      <c r="T363" s="3">
        <v>0</v>
      </c>
      <c r="U363" s="3">
        <v>-3</v>
      </c>
      <c r="V363" s="3">
        <v>84799.957777777789</v>
      </c>
      <c r="W363" s="22"/>
      <c r="Z363" s="27">
        <f t="shared" si="5"/>
        <v>1.3333333333333333</v>
      </c>
    </row>
    <row r="364" spans="1:27" ht="20" customHeight="1">
      <c r="A364" s="3" t="s">
        <v>274</v>
      </c>
      <c r="B364" s="3" t="s">
        <v>838</v>
      </c>
      <c r="C364" s="3" t="s">
        <v>837</v>
      </c>
      <c r="D364" s="3" t="s">
        <v>30</v>
      </c>
      <c r="E364" s="3" t="s">
        <v>23</v>
      </c>
      <c r="F364" s="25"/>
      <c r="G364" s="3">
        <v>2</v>
      </c>
      <c r="H364" s="3">
        <v>6</v>
      </c>
      <c r="I364" s="3">
        <v>0</v>
      </c>
      <c r="J364" s="3">
        <v>6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18"/>
      <c r="Q364" s="18"/>
      <c r="R364" s="18"/>
      <c r="S364" s="3"/>
      <c r="T364" s="3">
        <v>0</v>
      </c>
      <c r="U364" s="3">
        <v>-5</v>
      </c>
      <c r="V364" s="3"/>
      <c r="W364" s="22"/>
      <c r="Z364" s="27">
        <f t="shared" si="5"/>
        <v>3</v>
      </c>
    </row>
    <row r="365" spans="1:27" ht="23" customHeight="1">
      <c r="A365" s="3" t="s">
        <v>702</v>
      </c>
      <c r="B365" s="3" t="s">
        <v>839</v>
      </c>
      <c r="C365" s="3" t="s">
        <v>840</v>
      </c>
      <c r="D365" s="3" t="s">
        <v>22</v>
      </c>
      <c r="E365" s="3" t="s">
        <v>23</v>
      </c>
      <c r="F365" s="25"/>
      <c r="G365" s="3">
        <v>2</v>
      </c>
      <c r="H365" s="3">
        <v>10</v>
      </c>
      <c r="I365" s="3">
        <v>0</v>
      </c>
      <c r="J365" s="3">
        <v>2</v>
      </c>
      <c r="K365" s="3">
        <v>0</v>
      </c>
      <c r="L365" s="3">
        <v>0</v>
      </c>
      <c r="M365" s="3">
        <v>0</v>
      </c>
      <c r="N365" s="3">
        <v>0</v>
      </c>
      <c r="O365" s="3">
        <v>8</v>
      </c>
      <c r="P365" s="18"/>
      <c r="Q365" s="18"/>
      <c r="R365" s="18"/>
      <c r="S365" s="3">
        <v>4</v>
      </c>
      <c r="T365" s="3">
        <v>0</v>
      </c>
      <c r="U365" s="3">
        <v>-9</v>
      </c>
      <c r="V365" s="3">
        <v>1051313.074</v>
      </c>
      <c r="W365" s="22"/>
      <c r="Z365" s="27">
        <f t="shared" si="5"/>
        <v>1</v>
      </c>
      <c r="AA365" s="19">
        <v>1</v>
      </c>
    </row>
    <row r="366" spans="1:27" ht="23" customHeight="1">
      <c r="A366" s="3" t="s">
        <v>271</v>
      </c>
      <c r="B366" s="3" t="s">
        <v>841</v>
      </c>
      <c r="C366" s="3" t="s">
        <v>273</v>
      </c>
      <c r="D366" s="3" t="s">
        <v>22</v>
      </c>
      <c r="E366" s="3" t="s">
        <v>23</v>
      </c>
      <c r="F366" s="25"/>
      <c r="G366" s="3">
        <v>1</v>
      </c>
      <c r="H366" s="3">
        <v>4</v>
      </c>
      <c r="I366" s="3">
        <v>0</v>
      </c>
      <c r="J366" s="3">
        <v>2</v>
      </c>
      <c r="K366" s="3">
        <v>0</v>
      </c>
      <c r="L366" s="3">
        <v>0</v>
      </c>
      <c r="M366" s="3">
        <v>0</v>
      </c>
      <c r="N366" s="3">
        <v>1</v>
      </c>
      <c r="O366" s="3">
        <v>1</v>
      </c>
      <c r="P366" s="18"/>
      <c r="Q366" s="18"/>
      <c r="R366" s="18"/>
      <c r="S366" s="3"/>
      <c r="T366" s="3">
        <v>-1</v>
      </c>
      <c r="U366" s="3">
        <v>-4</v>
      </c>
      <c r="V366" s="3">
        <v>377143.23111111106</v>
      </c>
      <c r="W366" s="22"/>
      <c r="Z366" s="27">
        <f t="shared" si="5"/>
        <v>2</v>
      </c>
    </row>
    <row r="367" spans="1:27" ht="20" customHeight="1">
      <c r="A367" s="3" t="s">
        <v>842</v>
      </c>
      <c r="B367" s="3" t="s">
        <v>843</v>
      </c>
      <c r="C367" s="3" t="s">
        <v>844</v>
      </c>
      <c r="D367" s="3" t="s">
        <v>22</v>
      </c>
      <c r="E367" s="3" t="s">
        <v>23</v>
      </c>
      <c r="F367" s="25"/>
      <c r="G367" s="3">
        <v>1</v>
      </c>
      <c r="H367" s="3">
        <v>4</v>
      </c>
      <c r="I367" s="3">
        <v>0</v>
      </c>
      <c r="J367" s="3">
        <v>3</v>
      </c>
      <c r="K367" s="3">
        <v>0</v>
      </c>
      <c r="L367" s="3">
        <v>0</v>
      </c>
      <c r="M367" s="3">
        <v>0</v>
      </c>
      <c r="N367" s="3">
        <v>0</v>
      </c>
      <c r="O367" s="3">
        <v>1</v>
      </c>
      <c r="P367" s="18"/>
      <c r="Q367" s="18"/>
      <c r="R367" s="18"/>
      <c r="S367" s="3"/>
      <c r="T367" s="3">
        <v>0</v>
      </c>
      <c r="U367" s="3">
        <v>-2</v>
      </c>
      <c r="V367" s="3"/>
      <c r="W367" s="22"/>
      <c r="Z367" s="27">
        <f t="shared" si="5"/>
        <v>3</v>
      </c>
    </row>
    <row r="368" spans="1:27" ht="23" customHeight="1">
      <c r="A368" s="3" t="s">
        <v>452</v>
      </c>
      <c r="B368" s="3" t="s">
        <v>845</v>
      </c>
      <c r="C368" s="3" t="s">
        <v>454</v>
      </c>
      <c r="D368" s="3" t="s">
        <v>22</v>
      </c>
      <c r="E368" s="3" t="s">
        <v>23</v>
      </c>
      <c r="F368" s="25"/>
      <c r="G368" s="3">
        <v>4</v>
      </c>
      <c r="H368" s="3">
        <v>12</v>
      </c>
      <c r="I368" s="3">
        <v>0</v>
      </c>
      <c r="J368" s="3">
        <v>2</v>
      </c>
      <c r="K368" s="3">
        <v>0</v>
      </c>
      <c r="L368" s="3">
        <v>0</v>
      </c>
      <c r="M368" s="3">
        <v>0</v>
      </c>
      <c r="N368" s="3">
        <v>3</v>
      </c>
      <c r="O368" s="3">
        <v>7</v>
      </c>
      <c r="P368" s="18"/>
      <c r="Q368" s="18"/>
      <c r="R368" s="18"/>
      <c r="S368" s="3"/>
      <c r="T368" s="3">
        <v>-2</v>
      </c>
      <c r="U368" s="3">
        <v>-16</v>
      </c>
      <c r="V368" s="3">
        <v>3237078.5292500006</v>
      </c>
      <c r="W368" s="22"/>
      <c r="Z368" s="27">
        <f t="shared" si="5"/>
        <v>0.5</v>
      </c>
    </row>
    <row r="369" spans="1:26" ht="34" customHeight="1">
      <c r="A369" s="3" t="s">
        <v>534</v>
      </c>
      <c r="B369" s="3" t="s">
        <v>846</v>
      </c>
      <c r="C369" s="3" t="s">
        <v>847</v>
      </c>
      <c r="D369" s="3" t="s">
        <v>30</v>
      </c>
      <c r="E369" s="3" t="s">
        <v>23</v>
      </c>
      <c r="F369" s="25"/>
      <c r="G369" s="3">
        <v>2</v>
      </c>
      <c r="H369" s="3">
        <v>3</v>
      </c>
      <c r="I369" s="3">
        <v>0</v>
      </c>
      <c r="J369" s="3">
        <v>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18"/>
      <c r="Q369" s="18"/>
      <c r="R369" s="18"/>
      <c r="S369" s="3"/>
      <c r="T369" s="3">
        <v>0</v>
      </c>
      <c r="U369" s="3">
        <v>-2</v>
      </c>
      <c r="V369" s="3"/>
      <c r="W369" s="22"/>
      <c r="Z369" s="27">
        <f t="shared" si="5"/>
        <v>1.5</v>
      </c>
    </row>
    <row r="370" spans="1:26" ht="20" customHeight="1">
      <c r="A370" s="3" t="s">
        <v>88</v>
      </c>
      <c r="B370" s="3" t="s">
        <v>848</v>
      </c>
      <c r="C370" s="3" t="s">
        <v>849</v>
      </c>
      <c r="D370" s="3" t="s">
        <v>22</v>
      </c>
      <c r="E370" s="3" t="s">
        <v>23</v>
      </c>
      <c r="F370" s="25"/>
      <c r="G370" s="3">
        <v>1</v>
      </c>
      <c r="H370" s="3">
        <v>1</v>
      </c>
      <c r="I370" s="3">
        <v>0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18"/>
      <c r="Q370" s="18"/>
      <c r="R370" s="18"/>
      <c r="S370" s="3"/>
      <c r="T370" s="3"/>
      <c r="U370" s="3"/>
      <c r="V370" s="3">
        <v>0</v>
      </c>
      <c r="W370" s="22"/>
      <c r="Z370" s="27">
        <f t="shared" si="5"/>
        <v>1</v>
      </c>
    </row>
    <row r="371" spans="1:26" ht="23" customHeight="1">
      <c r="A371" s="3" t="s">
        <v>850</v>
      </c>
      <c r="B371" s="3" t="s">
        <v>851</v>
      </c>
      <c r="C371" s="3" t="s">
        <v>852</v>
      </c>
      <c r="D371" s="3" t="s">
        <v>22</v>
      </c>
      <c r="E371" s="3" t="s">
        <v>23</v>
      </c>
      <c r="F371" s="25"/>
      <c r="G371" s="3">
        <v>1</v>
      </c>
      <c r="H371" s="3">
        <v>3</v>
      </c>
      <c r="I371" s="3">
        <v>0</v>
      </c>
      <c r="J371" s="3">
        <v>2</v>
      </c>
      <c r="K371" s="3">
        <v>0</v>
      </c>
      <c r="L371" s="3">
        <v>0</v>
      </c>
      <c r="M371" s="3">
        <v>0</v>
      </c>
      <c r="N371" s="3">
        <v>1</v>
      </c>
      <c r="O371" s="3">
        <v>0</v>
      </c>
      <c r="P371" s="18"/>
      <c r="Q371" s="18"/>
      <c r="R371" s="18"/>
      <c r="S371" s="3"/>
      <c r="T371" s="3"/>
      <c r="U371" s="3"/>
      <c r="V371" s="3">
        <v>170555.99</v>
      </c>
      <c r="W371" s="22"/>
      <c r="Z371" s="27">
        <f t="shared" si="5"/>
        <v>2</v>
      </c>
    </row>
    <row r="372" spans="1:26" ht="20" customHeight="1">
      <c r="A372" s="3" t="s">
        <v>853</v>
      </c>
      <c r="B372" s="3" t="s">
        <v>854</v>
      </c>
      <c r="C372" s="3" t="s">
        <v>855</v>
      </c>
      <c r="D372" s="3" t="s">
        <v>22</v>
      </c>
      <c r="E372" s="3" t="s">
        <v>145</v>
      </c>
      <c r="F372" s="25"/>
      <c r="G372" s="3">
        <v>1</v>
      </c>
      <c r="H372" s="3">
        <v>1</v>
      </c>
      <c r="I372" s="3">
        <v>0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18"/>
      <c r="Q372" s="18"/>
      <c r="R372" s="18"/>
      <c r="S372" s="3"/>
      <c r="T372" s="3"/>
      <c r="U372" s="3"/>
      <c r="V372" s="3">
        <v>1</v>
      </c>
      <c r="W372" s="22"/>
      <c r="Z372" s="27">
        <f t="shared" si="5"/>
        <v>1</v>
      </c>
    </row>
    <row r="373" spans="1:26" ht="23" customHeight="1">
      <c r="A373" s="3" t="s">
        <v>853</v>
      </c>
      <c r="B373" s="3" t="s">
        <v>856</v>
      </c>
      <c r="C373" s="3" t="s">
        <v>857</v>
      </c>
      <c r="D373" s="3" t="s">
        <v>22</v>
      </c>
      <c r="E373" s="3" t="s">
        <v>145</v>
      </c>
      <c r="F373" s="25"/>
      <c r="G373" s="3">
        <v>1</v>
      </c>
      <c r="H373" s="3">
        <v>2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1</v>
      </c>
      <c r="P373" s="18"/>
      <c r="Q373" s="18"/>
      <c r="R373" s="18"/>
      <c r="S373" s="3"/>
      <c r="T373" s="3">
        <v>0</v>
      </c>
      <c r="U373" s="3">
        <v>-2</v>
      </c>
      <c r="V373" s="3"/>
      <c r="W373" s="22"/>
      <c r="Z373" s="27">
        <f t="shared" si="5"/>
        <v>1</v>
      </c>
    </row>
    <row r="374" spans="1:26" ht="23" customHeight="1">
      <c r="A374" s="3" t="s">
        <v>306</v>
      </c>
      <c r="B374" s="3" t="s">
        <v>858</v>
      </c>
      <c r="C374" s="3" t="s">
        <v>859</v>
      </c>
      <c r="D374" s="3" t="s">
        <v>22</v>
      </c>
      <c r="E374" s="3" t="s">
        <v>23</v>
      </c>
      <c r="F374" s="25"/>
      <c r="G374" s="3">
        <v>2</v>
      </c>
      <c r="H374" s="3">
        <v>17</v>
      </c>
      <c r="I374" s="3">
        <v>0</v>
      </c>
      <c r="J374" s="3">
        <v>10</v>
      </c>
      <c r="K374" s="3">
        <v>0</v>
      </c>
      <c r="L374" s="3">
        <v>0</v>
      </c>
      <c r="M374" s="3">
        <v>0</v>
      </c>
      <c r="N374" s="3">
        <v>1</v>
      </c>
      <c r="O374" s="3">
        <v>6</v>
      </c>
      <c r="P374" s="18"/>
      <c r="Q374" s="18"/>
      <c r="R374" s="18"/>
      <c r="S374" s="3"/>
      <c r="T374" s="3">
        <v>0</v>
      </c>
      <c r="U374" s="3">
        <v>-7</v>
      </c>
      <c r="V374" s="3">
        <v>0</v>
      </c>
      <c r="W374" s="22"/>
      <c r="Z374" s="27">
        <f t="shared" si="5"/>
        <v>5</v>
      </c>
    </row>
    <row r="375" spans="1:26" ht="34" customHeight="1">
      <c r="A375" s="3" t="s">
        <v>860</v>
      </c>
      <c r="B375" s="3" t="s">
        <v>861</v>
      </c>
      <c r="C375" s="3" t="s">
        <v>862</v>
      </c>
      <c r="D375" s="3" t="s">
        <v>22</v>
      </c>
      <c r="E375" s="3" t="s">
        <v>23</v>
      </c>
      <c r="F375" s="25"/>
      <c r="G375" s="3">
        <v>1</v>
      </c>
      <c r="H375" s="3">
        <v>2</v>
      </c>
      <c r="I375" s="3">
        <v>0</v>
      </c>
      <c r="J375" s="3">
        <v>2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18"/>
      <c r="Q375" s="18"/>
      <c r="R375" s="18"/>
      <c r="S375" s="3"/>
      <c r="T375" s="3"/>
      <c r="U375" s="3"/>
      <c r="V375" s="3">
        <v>34812.29</v>
      </c>
      <c r="W375" s="22"/>
      <c r="Z375" s="27">
        <f t="shared" si="5"/>
        <v>2</v>
      </c>
    </row>
    <row r="376" spans="1:26" ht="34" customHeight="1">
      <c r="A376" s="3" t="s">
        <v>860</v>
      </c>
      <c r="B376" s="3" t="s">
        <v>863</v>
      </c>
      <c r="C376" s="3" t="s">
        <v>864</v>
      </c>
      <c r="D376" s="3" t="s">
        <v>22</v>
      </c>
      <c r="E376" s="3" t="s">
        <v>23</v>
      </c>
      <c r="F376" s="25"/>
      <c r="G376" s="3">
        <v>1</v>
      </c>
      <c r="H376" s="3">
        <v>1</v>
      </c>
      <c r="I376" s="3">
        <v>0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18"/>
      <c r="Q376" s="18"/>
      <c r="R376" s="18"/>
      <c r="S376" s="3"/>
      <c r="T376" s="3"/>
      <c r="U376" s="3"/>
      <c r="V376" s="3"/>
      <c r="W376" s="22"/>
      <c r="Z376" s="27">
        <f t="shared" si="5"/>
        <v>1</v>
      </c>
    </row>
    <row r="377" spans="1:26" ht="23" customHeight="1">
      <c r="A377" s="3" t="s">
        <v>496</v>
      </c>
      <c r="B377" s="3" t="s">
        <v>865</v>
      </c>
      <c r="C377" s="3" t="s">
        <v>866</v>
      </c>
      <c r="D377" s="3" t="s">
        <v>22</v>
      </c>
      <c r="E377" s="3" t="s">
        <v>23</v>
      </c>
      <c r="F377" s="25"/>
      <c r="G377" s="3">
        <v>2</v>
      </c>
      <c r="H377" s="3">
        <v>8</v>
      </c>
      <c r="I377" s="3">
        <v>0</v>
      </c>
      <c r="J377" s="3">
        <v>7</v>
      </c>
      <c r="K377" s="3">
        <v>0</v>
      </c>
      <c r="L377" s="3">
        <v>0</v>
      </c>
      <c r="M377" s="3">
        <v>0</v>
      </c>
      <c r="N377" s="3">
        <v>0</v>
      </c>
      <c r="O377" s="3">
        <v>1</v>
      </c>
      <c r="P377" s="18"/>
      <c r="Q377" s="18"/>
      <c r="R377" s="18"/>
      <c r="S377" s="3"/>
      <c r="T377" s="3">
        <v>0</v>
      </c>
      <c r="U377" s="3">
        <v>-3</v>
      </c>
      <c r="V377" s="3"/>
      <c r="W377" s="22"/>
      <c r="Z377" s="27">
        <f t="shared" si="5"/>
        <v>3.5</v>
      </c>
    </row>
    <row r="378" spans="1:26" ht="23" customHeight="1">
      <c r="A378" s="3" t="s">
        <v>496</v>
      </c>
      <c r="B378" s="3" t="s">
        <v>867</v>
      </c>
      <c r="C378" s="3" t="s">
        <v>868</v>
      </c>
      <c r="D378" s="3" t="s">
        <v>22</v>
      </c>
      <c r="E378" s="3" t="s">
        <v>23</v>
      </c>
      <c r="F378" s="25"/>
      <c r="G378" s="3">
        <v>2</v>
      </c>
      <c r="H378" s="3">
        <v>4</v>
      </c>
      <c r="I378" s="3">
        <v>0</v>
      </c>
      <c r="J378" s="3">
        <v>4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18"/>
      <c r="Q378" s="18"/>
      <c r="R378" s="18"/>
      <c r="S378" s="3"/>
      <c r="T378" s="3">
        <v>0</v>
      </c>
      <c r="U378" s="3">
        <v>-2</v>
      </c>
      <c r="V378" s="3"/>
      <c r="W378" s="22"/>
      <c r="Z378" s="27">
        <f t="shared" si="5"/>
        <v>2</v>
      </c>
    </row>
    <row r="379" spans="1:26" ht="23" customHeight="1">
      <c r="A379" s="3" t="s">
        <v>869</v>
      </c>
      <c r="B379" s="3" t="s">
        <v>870</v>
      </c>
      <c r="C379" s="3" t="s">
        <v>871</v>
      </c>
      <c r="D379" s="3" t="s">
        <v>22</v>
      </c>
      <c r="E379" s="3" t="s">
        <v>91</v>
      </c>
      <c r="F379" s="25"/>
      <c r="G379" s="3">
        <v>20</v>
      </c>
      <c r="H379" s="3">
        <v>23</v>
      </c>
      <c r="I379" s="3">
        <v>0</v>
      </c>
      <c r="J379" s="3">
        <v>4</v>
      </c>
      <c r="K379" s="3">
        <v>8</v>
      </c>
      <c r="L379" s="3">
        <v>0</v>
      </c>
      <c r="M379" s="3">
        <v>0</v>
      </c>
      <c r="N379" s="3">
        <v>6</v>
      </c>
      <c r="O379" s="3">
        <v>5</v>
      </c>
      <c r="P379" s="18"/>
      <c r="Q379" s="18"/>
      <c r="R379" s="18"/>
      <c r="S379" s="3"/>
      <c r="T379" s="3"/>
      <c r="U379" s="3"/>
      <c r="V379" s="3">
        <v>1107013.9648</v>
      </c>
      <c r="W379" s="22"/>
      <c r="Z379" s="27">
        <f t="shared" si="5"/>
        <v>0.2</v>
      </c>
    </row>
    <row r="380" spans="1:26" ht="23" customHeight="1">
      <c r="A380" s="3" t="s">
        <v>632</v>
      </c>
      <c r="B380" s="3" t="s">
        <v>872</v>
      </c>
      <c r="C380" s="3" t="s">
        <v>873</v>
      </c>
      <c r="D380" s="3" t="s">
        <v>30</v>
      </c>
      <c r="E380" s="3" t="s">
        <v>91</v>
      </c>
      <c r="F380" s="25"/>
      <c r="G380" s="3">
        <v>11</v>
      </c>
      <c r="H380" s="3">
        <v>11</v>
      </c>
      <c r="I380" s="3">
        <v>0</v>
      </c>
      <c r="J380" s="3">
        <v>11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18"/>
      <c r="Q380" s="18"/>
      <c r="R380" s="18"/>
      <c r="S380" s="3"/>
      <c r="T380" s="3"/>
      <c r="U380" s="3"/>
      <c r="V380" s="3">
        <v>103284.27</v>
      </c>
      <c r="W380" s="22"/>
      <c r="Z380" s="27">
        <f t="shared" si="5"/>
        <v>1</v>
      </c>
    </row>
    <row r="381" spans="1:26" ht="23" customHeight="1">
      <c r="A381" s="3" t="s">
        <v>632</v>
      </c>
      <c r="B381" s="3" t="s">
        <v>874</v>
      </c>
      <c r="C381" s="3" t="s">
        <v>873</v>
      </c>
      <c r="D381" s="3" t="s">
        <v>30</v>
      </c>
      <c r="E381" s="3" t="s">
        <v>91</v>
      </c>
      <c r="F381" s="25"/>
      <c r="G381" s="3">
        <v>7</v>
      </c>
      <c r="H381" s="3">
        <v>6</v>
      </c>
      <c r="I381" s="3">
        <v>1</v>
      </c>
      <c r="J381" s="3">
        <v>6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18"/>
      <c r="Q381" s="18"/>
      <c r="R381" s="18"/>
      <c r="S381" s="3"/>
      <c r="T381" s="3"/>
      <c r="U381" s="3"/>
      <c r="V381" s="3">
        <v>162165.54008400001</v>
      </c>
      <c r="W381" s="22"/>
      <c r="Z381" s="27">
        <f t="shared" si="5"/>
        <v>0.8571428571428571</v>
      </c>
    </row>
    <row r="382" spans="1:26" ht="23" customHeight="1">
      <c r="A382" s="3" t="s">
        <v>632</v>
      </c>
      <c r="B382" s="3" t="s">
        <v>875</v>
      </c>
      <c r="C382" s="3" t="s">
        <v>873</v>
      </c>
      <c r="D382" s="3" t="s">
        <v>30</v>
      </c>
      <c r="E382" s="3" t="s">
        <v>91</v>
      </c>
      <c r="F382" s="25"/>
      <c r="G382" s="3">
        <v>4</v>
      </c>
      <c r="H382" s="3">
        <v>4</v>
      </c>
      <c r="I382" s="3">
        <v>0</v>
      </c>
      <c r="J382" s="3">
        <v>4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18"/>
      <c r="Q382" s="18"/>
      <c r="R382" s="18"/>
      <c r="S382" s="3"/>
      <c r="T382" s="3"/>
      <c r="U382" s="3"/>
      <c r="V382" s="3">
        <v>197310.86537500002</v>
      </c>
      <c r="W382" s="22"/>
      <c r="Z382" s="27">
        <f t="shared" si="5"/>
        <v>1</v>
      </c>
    </row>
    <row r="383" spans="1:26" ht="23" customHeight="1">
      <c r="A383" s="3" t="s">
        <v>632</v>
      </c>
      <c r="B383" s="3" t="s">
        <v>876</v>
      </c>
      <c r="C383" s="3" t="s">
        <v>873</v>
      </c>
      <c r="D383" s="3" t="s">
        <v>30</v>
      </c>
      <c r="E383" s="3" t="s">
        <v>91</v>
      </c>
      <c r="F383" s="25"/>
      <c r="G383" s="3">
        <v>5</v>
      </c>
      <c r="H383" s="3">
        <v>5</v>
      </c>
      <c r="I383" s="3">
        <v>0</v>
      </c>
      <c r="J383" s="3">
        <v>5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18"/>
      <c r="Q383" s="18"/>
      <c r="R383" s="18"/>
      <c r="S383" s="3"/>
      <c r="T383" s="3"/>
      <c r="U383" s="3"/>
      <c r="V383" s="3">
        <v>100506.9</v>
      </c>
      <c r="W383" s="22"/>
      <c r="Z383" s="27">
        <f t="shared" si="5"/>
        <v>1</v>
      </c>
    </row>
    <row r="384" spans="1:26" ht="23" customHeight="1">
      <c r="A384" s="3" t="s">
        <v>632</v>
      </c>
      <c r="B384" s="3" t="s">
        <v>877</v>
      </c>
      <c r="C384" s="3" t="s">
        <v>873</v>
      </c>
      <c r="D384" s="3" t="s">
        <v>30</v>
      </c>
      <c r="E384" s="3" t="s">
        <v>91</v>
      </c>
      <c r="F384" s="25"/>
      <c r="G384" s="3">
        <v>12</v>
      </c>
      <c r="H384" s="3">
        <v>13</v>
      </c>
      <c r="I384" s="3">
        <v>0</v>
      </c>
      <c r="J384" s="3">
        <v>13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18"/>
      <c r="Q384" s="18"/>
      <c r="R384" s="18"/>
      <c r="S384" s="3"/>
      <c r="T384" s="3"/>
      <c r="U384" s="3"/>
      <c r="V384" s="3">
        <v>100389.92</v>
      </c>
      <c r="W384" s="22"/>
      <c r="Z384" s="27">
        <f t="shared" si="5"/>
        <v>1.0833333333333333</v>
      </c>
    </row>
    <row r="385" spans="1:28" ht="23" customHeight="1">
      <c r="A385" s="3" t="s">
        <v>632</v>
      </c>
      <c r="B385" s="3" t="s">
        <v>878</v>
      </c>
      <c r="C385" s="3" t="s">
        <v>873</v>
      </c>
      <c r="D385" s="3" t="s">
        <v>30</v>
      </c>
      <c r="E385" s="3" t="s">
        <v>91</v>
      </c>
      <c r="F385" s="25"/>
      <c r="G385" s="3">
        <v>2</v>
      </c>
      <c r="H385" s="3">
        <v>2</v>
      </c>
      <c r="I385" s="3">
        <v>0</v>
      </c>
      <c r="J385" s="3">
        <v>2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18"/>
      <c r="Q385" s="18"/>
      <c r="R385" s="18"/>
      <c r="S385" s="3"/>
      <c r="T385" s="3"/>
      <c r="U385" s="3"/>
      <c r="V385" s="3">
        <v>100389.92</v>
      </c>
      <c r="W385" s="22"/>
      <c r="Z385" s="27">
        <f t="shared" si="5"/>
        <v>1</v>
      </c>
    </row>
    <row r="386" spans="1:28" ht="23" customHeight="1">
      <c r="A386" s="3" t="s">
        <v>632</v>
      </c>
      <c r="B386" s="3" t="s">
        <v>879</v>
      </c>
      <c r="C386" s="3" t="s">
        <v>873</v>
      </c>
      <c r="D386" s="3" t="s">
        <v>30</v>
      </c>
      <c r="E386" s="3" t="s">
        <v>91</v>
      </c>
      <c r="F386" s="25"/>
      <c r="G386" s="3">
        <v>3</v>
      </c>
      <c r="H386" s="3">
        <v>3</v>
      </c>
      <c r="I386" s="3">
        <v>0</v>
      </c>
      <c r="J386" s="3">
        <v>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18"/>
      <c r="Q386" s="18"/>
      <c r="R386" s="18"/>
      <c r="S386" s="3">
        <v>1</v>
      </c>
      <c r="T386" s="3"/>
      <c r="U386" s="3"/>
      <c r="V386" s="3">
        <v>102593.97</v>
      </c>
      <c r="W386" s="22"/>
      <c r="Z386" s="27">
        <f t="shared" si="5"/>
        <v>1</v>
      </c>
    </row>
    <row r="387" spans="1:28" ht="23" customHeight="1">
      <c r="A387" s="3" t="s">
        <v>632</v>
      </c>
      <c r="B387" s="3" t="s">
        <v>880</v>
      </c>
      <c r="C387" s="3" t="s">
        <v>873</v>
      </c>
      <c r="D387" s="3" t="s">
        <v>30</v>
      </c>
      <c r="E387" s="3" t="s">
        <v>91</v>
      </c>
      <c r="F387" s="25"/>
      <c r="G387" s="3">
        <v>6</v>
      </c>
      <c r="H387" s="3">
        <v>6</v>
      </c>
      <c r="I387" s="3">
        <v>0</v>
      </c>
      <c r="J387" s="3">
        <v>6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18"/>
      <c r="Q387" s="18"/>
      <c r="R387" s="18"/>
      <c r="S387" s="3"/>
      <c r="T387" s="3"/>
      <c r="U387" s="3"/>
      <c r="V387" s="3">
        <v>102948.61</v>
      </c>
      <c r="W387" s="22"/>
      <c r="Z387" s="27">
        <f t="shared" si="5"/>
        <v>1</v>
      </c>
    </row>
    <row r="388" spans="1:28" ht="23" customHeight="1">
      <c r="A388" s="3" t="s">
        <v>632</v>
      </c>
      <c r="B388" s="3" t="s">
        <v>881</v>
      </c>
      <c r="C388" s="3" t="s">
        <v>873</v>
      </c>
      <c r="D388" s="3" t="s">
        <v>30</v>
      </c>
      <c r="E388" s="3" t="s">
        <v>91</v>
      </c>
      <c r="F388" s="25"/>
      <c r="G388" s="3">
        <v>2</v>
      </c>
      <c r="H388" s="3">
        <v>2</v>
      </c>
      <c r="I388" s="3">
        <v>0</v>
      </c>
      <c r="J388" s="3">
        <v>2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18"/>
      <c r="Q388" s="18"/>
      <c r="R388" s="18"/>
      <c r="S388" s="3"/>
      <c r="T388" s="3"/>
      <c r="U388" s="3"/>
      <c r="V388" s="3">
        <v>217666.97880000001</v>
      </c>
      <c r="W388" s="22"/>
      <c r="Z388" s="27">
        <f t="shared" ref="Z388:Z451" si="6">J388/G388</f>
        <v>1</v>
      </c>
    </row>
    <row r="389" spans="1:28" ht="23" customHeight="1">
      <c r="A389" s="3" t="s">
        <v>632</v>
      </c>
      <c r="B389" s="3" t="s">
        <v>882</v>
      </c>
      <c r="C389" s="3" t="s">
        <v>873</v>
      </c>
      <c r="D389" s="3" t="s">
        <v>30</v>
      </c>
      <c r="E389" s="3" t="s">
        <v>91</v>
      </c>
      <c r="F389" s="25"/>
      <c r="G389" s="3">
        <v>2</v>
      </c>
      <c r="H389" s="3">
        <v>2</v>
      </c>
      <c r="I389" s="3">
        <v>0</v>
      </c>
      <c r="J389" s="3">
        <v>2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18"/>
      <c r="Q389" s="18"/>
      <c r="R389" s="18"/>
      <c r="S389" s="3"/>
      <c r="T389" s="3"/>
      <c r="U389" s="3"/>
      <c r="V389" s="3">
        <v>101983.22</v>
      </c>
      <c r="W389" s="22"/>
      <c r="Z389" s="27">
        <f t="shared" si="6"/>
        <v>1</v>
      </c>
    </row>
    <row r="390" spans="1:28" ht="23" customHeight="1">
      <c r="A390" s="3" t="s">
        <v>632</v>
      </c>
      <c r="B390" s="3" t="s">
        <v>883</v>
      </c>
      <c r="C390" s="3" t="s">
        <v>873</v>
      </c>
      <c r="D390" s="3" t="s">
        <v>30</v>
      </c>
      <c r="E390" s="3" t="s">
        <v>91</v>
      </c>
      <c r="F390" s="25"/>
      <c r="G390" s="3">
        <v>12</v>
      </c>
      <c r="H390" s="3">
        <v>16</v>
      </c>
      <c r="I390" s="3">
        <v>0</v>
      </c>
      <c r="J390" s="3">
        <v>16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18"/>
      <c r="Q390" s="18"/>
      <c r="R390" s="18"/>
      <c r="S390" s="3"/>
      <c r="T390" s="3"/>
      <c r="U390" s="3"/>
      <c r="V390" s="3">
        <v>102353.74</v>
      </c>
      <c r="W390" s="22"/>
      <c r="Z390" s="27">
        <f t="shared" si="6"/>
        <v>1.3333333333333333</v>
      </c>
    </row>
    <row r="391" spans="1:28" ht="23" customHeight="1">
      <c r="A391" s="3" t="s">
        <v>632</v>
      </c>
      <c r="B391" s="3" t="s">
        <v>884</v>
      </c>
      <c r="C391" s="3" t="s">
        <v>873</v>
      </c>
      <c r="D391" s="3" t="s">
        <v>30</v>
      </c>
      <c r="E391" s="3" t="s">
        <v>91</v>
      </c>
      <c r="F391" s="25"/>
      <c r="G391" s="3">
        <v>2</v>
      </c>
      <c r="H391" s="3">
        <v>2</v>
      </c>
      <c r="I391" s="3">
        <v>0</v>
      </c>
      <c r="J391" s="3">
        <v>2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18"/>
      <c r="Q391" s="18"/>
      <c r="R391" s="18"/>
      <c r="S391" s="3"/>
      <c r="T391" s="3"/>
      <c r="U391" s="3"/>
      <c r="V391" s="3">
        <v>100506.9</v>
      </c>
      <c r="W391" s="22"/>
      <c r="Z391" s="27">
        <f t="shared" si="6"/>
        <v>1</v>
      </c>
    </row>
    <row r="392" spans="1:28" ht="23" customHeight="1">
      <c r="A392" s="3" t="s">
        <v>518</v>
      </c>
      <c r="B392" s="3" t="s">
        <v>885</v>
      </c>
      <c r="C392" s="3" t="s">
        <v>886</v>
      </c>
      <c r="D392" s="3" t="s">
        <v>30</v>
      </c>
      <c r="E392" s="3" t="s">
        <v>91</v>
      </c>
      <c r="F392" s="25"/>
      <c r="G392" s="3">
        <v>10</v>
      </c>
      <c r="H392" s="3">
        <v>9</v>
      </c>
      <c r="I392" s="3">
        <v>0</v>
      </c>
      <c r="J392" s="3">
        <v>9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18"/>
      <c r="Q392" s="18"/>
      <c r="R392" s="18"/>
      <c r="S392" s="3">
        <v>3</v>
      </c>
      <c r="T392" s="3"/>
      <c r="U392" s="3"/>
      <c r="V392" s="3">
        <v>295484.68962857139</v>
      </c>
      <c r="W392" s="22"/>
      <c r="Z392" s="27">
        <f t="shared" si="6"/>
        <v>0.9</v>
      </c>
    </row>
    <row r="393" spans="1:28" ht="23" customHeight="1">
      <c r="A393" s="3" t="s">
        <v>887</v>
      </c>
      <c r="B393" s="3" t="s">
        <v>888</v>
      </c>
      <c r="C393" s="3" t="s">
        <v>889</v>
      </c>
      <c r="D393" s="3" t="s">
        <v>22</v>
      </c>
      <c r="E393" s="3" t="s">
        <v>145</v>
      </c>
      <c r="F393" s="25"/>
      <c r="G393" s="3">
        <v>5</v>
      </c>
      <c r="H393" s="3">
        <v>41</v>
      </c>
      <c r="I393" s="3">
        <v>0</v>
      </c>
      <c r="J393" s="3">
        <v>35</v>
      </c>
      <c r="K393" s="3">
        <v>6</v>
      </c>
      <c r="L393" s="3">
        <v>0</v>
      </c>
      <c r="M393" s="3">
        <v>0</v>
      </c>
      <c r="N393" s="3">
        <v>0</v>
      </c>
      <c r="O393" s="3">
        <v>0</v>
      </c>
      <c r="P393" s="18"/>
      <c r="Q393" s="18"/>
      <c r="R393" s="18"/>
      <c r="S393" s="3"/>
      <c r="T393" s="3"/>
      <c r="U393" s="3"/>
      <c r="V393" s="3">
        <v>380.05909090909086</v>
      </c>
      <c r="W393" s="22"/>
      <c r="Z393" s="27">
        <f t="shared" si="6"/>
        <v>7</v>
      </c>
    </row>
    <row r="394" spans="1:28" ht="23" customHeight="1">
      <c r="A394" s="3" t="s">
        <v>124</v>
      </c>
      <c r="B394" s="3" t="s">
        <v>890</v>
      </c>
      <c r="C394" s="3" t="s">
        <v>891</v>
      </c>
      <c r="D394" s="3" t="s">
        <v>22</v>
      </c>
      <c r="E394" s="3" t="s">
        <v>23</v>
      </c>
      <c r="F394" s="25"/>
      <c r="G394" s="3">
        <v>1</v>
      </c>
      <c r="H394" s="3">
        <v>1</v>
      </c>
      <c r="I394" s="3">
        <v>0</v>
      </c>
      <c r="J394" s="3">
        <v>1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18"/>
      <c r="Q394" s="18"/>
      <c r="R394" s="18"/>
      <c r="S394" s="3"/>
      <c r="T394" s="3"/>
      <c r="U394" s="3"/>
      <c r="V394" s="3">
        <v>0</v>
      </c>
      <c r="W394" s="22"/>
      <c r="Z394" s="27">
        <f t="shared" si="6"/>
        <v>1</v>
      </c>
    </row>
    <row r="395" spans="1:28" ht="23" customHeight="1">
      <c r="A395" s="3" t="s">
        <v>277</v>
      </c>
      <c r="B395" s="3" t="s">
        <v>892</v>
      </c>
      <c r="C395" s="3" t="s">
        <v>893</v>
      </c>
      <c r="D395" s="3" t="s">
        <v>22</v>
      </c>
      <c r="E395" s="3" t="s">
        <v>23</v>
      </c>
      <c r="F395" s="25"/>
      <c r="G395" s="3">
        <v>2</v>
      </c>
      <c r="H395" s="3">
        <v>2</v>
      </c>
      <c r="I395" s="3">
        <v>0</v>
      </c>
      <c r="J395" s="3">
        <v>2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18"/>
      <c r="Q395" s="18"/>
      <c r="R395" s="18"/>
      <c r="S395" s="3"/>
      <c r="T395" s="3"/>
      <c r="U395" s="3"/>
      <c r="V395" s="3">
        <v>240871.902</v>
      </c>
      <c r="W395" s="22"/>
      <c r="Z395" s="27">
        <f t="shared" si="6"/>
        <v>1</v>
      </c>
    </row>
    <row r="396" spans="1:28" ht="23" customHeight="1">
      <c r="A396" s="3" t="s">
        <v>756</v>
      </c>
      <c r="B396" s="3" t="s">
        <v>894</v>
      </c>
      <c r="C396" s="3" t="s">
        <v>893</v>
      </c>
      <c r="D396" s="3" t="s">
        <v>22</v>
      </c>
      <c r="E396" s="3" t="s">
        <v>23</v>
      </c>
      <c r="F396" s="25"/>
      <c r="G396" s="3">
        <v>1</v>
      </c>
      <c r="H396" s="3">
        <v>2</v>
      </c>
      <c r="I396" s="3">
        <v>0</v>
      </c>
      <c r="J396" s="3">
        <v>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18"/>
      <c r="Q396" s="18"/>
      <c r="R396" s="18"/>
      <c r="S396" s="3"/>
      <c r="T396" s="3"/>
      <c r="U396" s="3"/>
      <c r="V396" s="3">
        <v>154776.62</v>
      </c>
      <c r="W396" s="22"/>
      <c r="Z396" s="27">
        <f t="shared" si="6"/>
        <v>2</v>
      </c>
    </row>
    <row r="397" spans="1:28" ht="23" customHeight="1">
      <c r="A397" s="3" t="s">
        <v>895</v>
      </c>
      <c r="B397" s="3" t="s">
        <v>896</v>
      </c>
      <c r="C397" s="3" t="s">
        <v>893</v>
      </c>
      <c r="D397" s="3" t="s">
        <v>22</v>
      </c>
      <c r="E397" s="3" t="s">
        <v>23</v>
      </c>
      <c r="F397" s="25"/>
      <c r="G397" s="3">
        <v>1</v>
      </c>
      <c r="H397" s="3">
        <v>2</v>
      </c>
      <c r="I397" s="3">
        <v>0</v>
      </c>
      <c r="J397" s="3">
        <v>2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18"/>
      <c r="Q397" s="18"/>
      <c r="R397" s="18"/>
      <c r="S397" s="3"/>
      <c r="T397" s="3">
        <v>0</v>
      </c>
      <c r="U397" s="3">
        <v>-1</v>
      </c>
      <c r="V397" s="3"/>
      <c r="W397" s="22"/>
      <c r="Z397" s="27">
        <f t="shared" si="6"/>
        <v>2</v>
      </c>
    </row>
    <row r="398" spans="1:28" ht="23" customHeight="1">
      <c r="A398" s="3" t="s">
        <v>897</v>
      </c>
      <c r="B398" s="3" t="s">
        <v>898</v>
      </c>
      <c r="C398" s="3" t="s">
        <v>899</v>
      </c>
      <c r="D398" s="3" t="s">
        <v>22</v>
      </c>
      <c r="E398" s="3" t="s">
        <v>23</v>
      </c>
      <c r="F398" s="25"/>
      <c r="G398" s="3">
        <v>2</v>
      </c>
      <c r="H398" s="3">
        <v>10</v>
      </c>
      <c r="I398" s="3">
        <v>0</v>
      </c>
      <c r="J398" s="3">
        <v>8</v>
      </c>
      <c r="K398" s="3">
        <v>0</v>
      </c>
      <c r="L398" s="3">
        <v>6</v>
      </c>
      <c r="M398" s="3">
        <v>0</v>
      </c>
      <c r="N398" s="3">
        <v>1</v>
      </c>
      <c r="O398" s="3">
        <v>1</v>
      </c>
      <c r="P398" s="18"/>
      <c r="Q398" s="18"/>
      <c r="R398" s="18"/>
      <c r="S398" s="3">
        <v>12</v>
      </c>
      <c r="T398" s="3">
        <v>-5</v>
      </c>
      <c r="U398" s="3">
        <v>-19</v>
      </c>
      <c r="V398" s="3">
        <v>850814.80583757942</v>
      </c>
      <c r="W398" s="22"/>
      <c r="Z398" s="27">
        <f t="shared" si="6"/>
        <v>4</v>
      </c>
    </row>
    <row r="399" spans="1:28" ht="20" customHeight="1">
      <c r="A399" s="3" t="s">
        <v>900</v>
      </c>
      <c r="B399" s="3" t="s">
        <v>901</v>
      </c>
      <c r="C399" s="3" t="s">
        <v>902</v>
      </c>
      <c r="D399" s="3" t="s">
        <v>22</v>
      </c>
      <c r="E399" s="3" t="s">
        <v>23</v>
      </c>
      <c r="F399" s="25"/>
      <c r="G399" s="3">
        <v>2</v>
      </c>
      <c r="H399" s="3">
        <v>7</v>
      </c>
      <c r="I399" s="3">
        <v>0</v>
      </c>
      <c r="J399" s="3">
        <v>7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18"/>
      <c r="Q399" s="18"/>
      <c r="R399" s="18"/>
      <c r="S399" s="3"/>
      <c r="T399" s="3"/>
      <c r="U399" s="3"/>
      <c r="V399" s="3">
        <v>578731.22560000001</v>
      </c>
      <c r="W399" s="22"/>
      <c r="Z399" s="27">
        <f t="shared" si="6"/>
        <v>3.5</v>
      </c>
    </row>
    <row r="400" spans="1:28" ht="20" customHeight="1">
      <c r="A400" s="3" t="s">
        <v>903</v>
      </c>
      <c r="B400" s="3" t="s">
        <v>904</v>
      </c>
      <c r="C400" s="3" t="s">
        <v>905</v>
      </c>
      <c r="D400" s="3" t="s">
        <v>22</v>
      </c>
      <c r="E400" s="3" t="s">
        <v>23</v>
      </c>
      <c r="F400" s="25"/>
      <c r="G400" s="3">
        <v>1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1</v>
      </c>
      <c r="P400" s="18"/>
      <c r="Q400" s="18"/>
      <c r="R400" s="18"/>
      <c r="S400" s="3">
        <v>1</v>
      </c>
      <c r="T400" s="3">
        <v>0</v>
      </c>
      <c r="U400" s="3">
        <v>-1</v>
      </c>
      <c r="V400" s="3">
        <v>0</v>
      </c>
      <c r="W400" s="22"/>
      <c r="Z400" s="27">
        <f t="shared" si="6"/>
        <v>0</v>
      </c>
      <c r="AA400" s="19">
        <v>1</v>
      </c>
      <c r="AB400" t="s">
        <v>2355</v>
      </c>
    </row>
    <row r="401" spans="1:26" ht="23" customHeight="1">
      <c r="A401" s="3" t="s">
        <v>121</v>
      </c>
      <c r="B401" s="3" t="s">
        <v>906</v>
      </c>
      <c r="C401" s="3" t="s">
        <v>907</v>
      </c>
      <c r="D401" s="3" t="s">
        <v>22</v>
      </c>
      <c r="E401" s="3" t="s">
        <v>23</v>
      </c>
      <c r="F401" s="25"/>
      <c r="G401" s="3">
        <v>1</v>
      </c>
      <c r="H401" s="3">
        <v>1</v>
      </c>
      <c r="I401" s="3">
        <v>0</v>
      </c>
      <c r="J401" s="3">
        <v>1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18"/>
      <c r="Q401" s="18"/>
      <c r="R401" s="18"/>
      <c r="S401" s="3"/>
      <c r="T401" s="3"/>
      <c r="U401" s="3"/>
      <c r="V401" s="3">
        <v>0</v>
      </c>
      <c r="W401" s="22"/>
      <c r="Z401" s="27">
        <f t="shared" si="6"/>
        <v>1</v>
      </c>
    </row>
    <row r="402" spans="1:26" ht="23" customHeight="1">
      <c r="A402" s="3" t="s">
        <v>908</v>
      </c>
      <c r="B402" s="3" t="s">
        <v>909</v>
      </c>
      <c r="C402" s="3" t="s">
        <v>910</v>
      </c>
      <c r="D402" s="3" t="s">
        <v>22</v>
      </c>
      <c r="E402" s="3" t="s">
        <v>23</v>
      </c>
      <c r="F402" s="25"/>
      <c r="G402" s="3">
        <v>1</v>
      </c>
      <c r="H402" s="3">
        <v>1</v>
      </c>
      <c r="I402" s="3">
        <v>0</v>
      </c>
      <c r="J402" s="3">
        <v>1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18"/>
      <c r="Q402" s="18"/>
      <c r="R402" s="18"/>
      <c r="S402" s="3"/>
      <c r="T402" s="3"/>
      <c r="U402" s="3"/>
      <c r="V402" s="3">
        <v>0</v>
      </c>
      <c r="W402" s="22"/>
      <c r="Z402" s="27">
        <f t="shared" si="6"/>
        <v>1</v>
      </c>
    </row>
    <row r="403" spans="1:26" ht="20" customHeight="1">
      <c r="A403" s="3" t="s">
        <v>911</v>
      </c>
      <c r="B403" s="3" t="s">
        <v>912</v>
      </c>
      <c r="C403" s="3" t="s">
        <v>913</v>
      </c>
      <c r="D403" s="3" t="s">
        <v>30</v>
      </c>
      <c r="E403" s="3" t="s">
        <v>23</v>
      </c>
      <c r="F403" s="25"/>
      <c r="G403" s="3">
        <v>10</v>
      </c>
      <c r="H403" s="3">
        <v>10</v>
      </c>
      <c r="I403" s="3">
        <v>0</v>
      </c>
      <c r="J403" s="3">
        <v>10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18"/>
      <c r="Q403" s="18"/>
      <c r="R403" s="18"/>
      <c r="S403" s="3"/>
      <c r="T403" s="3"/>
      <c r="U403" s="3"/>
      <c r="V403" s="3"/>
      <c r="W403" s="22"/>
      <c r="Z403" s="27">
        <f t="shared" si="6"/>
        <v>1</v>
      </c>
    </row>
    <row r="404" spans="1:26" ht="20" customHeight="1">
      <c r="A404" s="3" t="s">
        <v>102</v>
      </c>
      <c r="B404" s="3" t="s">
        <v>914</v>
      </c>
      <c r="C404" s="3" t="s">
        <v>915</v>
      </c>
      <c r="D404" s="3" t="s">
        <v>30</v>
      </c>
      <c r="E404" s="3" t="s">
        <v>23</v>
      </c>
      <c r="F404" s="25"/>
      <c r="G404" s="3">
        <v>6</v>
      </c>
      <c r="H404" s="3">
        <v>6</v>
      </c>
      <c r="I404" s="3">
        <v>0</v>
      </c>
      <c r="J404" s="3">
        <v>6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18"/>
      <c r="Q404" s="18"/>
      <c r="R404" s="18"/>
      <c r="S404" s="3"/>
      <c r="T404" s="3"/>
      <c r="U404" s="3"/>
      <c r="V404" s="3">
        <v>0</v>
      </c>
      <c r="W404" s="22"/>
      <c r="Z404" s="27">
        <f t="shared" si="6"/>
        <v>1</v>
      </c>
    </row>
    <row r="405" spans="1:26" ht="20" customHeight="1">
      <c r="A405" s="3" t="s">
        <v>102</v>
      </c>
      <c r="B405" s="3" t="s">
        <v>916</v>
      </c>
      <c r="C405" s="3" t="s">
        <v>915</v>
      </c>
      <c r="D405" s="3" t="s">
        <v>30</v>
      </c>
      <c r="E405" s="3" t="s">
        <v>23</v>
      </c>
      <c r="F405" s="25"/>
      <c r="G405" s="3">
        <v>2</v>
      </c>
      <c r="H405" s="3">
        <v>2</v>
      </c>
      <c r="I405" s="3">
        <v>0</v>
      </c>
      <c r="J405" s="3">
        <v>2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18"/>
      <c r="Q405" s="18"/>
      <c r="R405" s="18"/>
      <c r="S405" s="3"/>
      <c r="T405" s="3"/>
      <c r="U405" s="3"/>
      <c r="V405" s="3">
        <v>0</v>
      </c>
      <c r="W405" s="22"/>
      <c r="Z405" s="27">
        <f t="shared" si="6"/>
        <v>1</v>
      </c>
    </row>
    <row r="406" spans="1:26" ht="23" customHeight="1">
      <c r="A406" s="3" t="s">
        <v>102</v>
      </c>
      <c r="B406" s="3" t="s">
        <v>917</v>
      </c>
      <c r="C406" s="3" t="s">
        <v>918</v>
      </c>
      <c r="D406" s="3" t="s">
        <v>30</v>
      </c>
      <c r="E406" s="3" t="s">
        <v>23</v>
      </c>
      <c r="F406" s="25"/>
      <c r="G406" s="3">
        <v>6</v>
      </c>
      <c r="H406" s="3">
        <v>18</v>
      </c>
      <c r="I406" s="3">
        <v>0</v>
      </c>
      <c r="J406" s="3">
        <v>18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18"/>
      <c r="Q406" s="18"/>
      <c r="R406" s="18"/>
      <c r="S406" s="3"/>
      <c r="T406" s="3">
        <v>0</v>
      </c>
      <c r="U406" s="3">
        <v>0</v>
      </c>
      <c r="V406" s="3">
        <v>2267893.6458640001</v>
      </c>
      <c r="W406" s="22"/>
      <c r="Z406" s="27">
        <f t="shared" si="6"/>
        <v>3</v>
      </c>
    </row>
    <row r="407" spans="1:26" ht="23" customHeight="1">
      <c r="A407" s="3" t="s">
        <v>102</v>
      </c>
      <c r="B407" s="3" t="s">
        <v>919</v>
      </c>
      <c r="C407" s="3" t="s">
        <v>920</v>
      </c>
      <c r="D407" s="3" t="s">
        <v>30</v>
      </c>
      <c r="E407" s="3" t="s">
        <v>23</v>
      </c>
      <c r="F407" s="25"/>
      <c r="G407" s="3">
        <v>8</v>
      </c>
      <c r="H407" s="3">
        <v>8</v>
      </c>
      <c r="I407" s="3">
        <v>0</v>
      </c>
      <c r="J407" s="3">
        <v>8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18"/>
      <c r="Q407" s="18"/>
      <c r="R407" s="18"/>
      <c r="S407" s="3"/>
      <c r="T407" s="3"/>
      <c r="U407" s="3"/>
      <c r="V407" s="3">
        <v>1066711.568958</v>
      </c>
      <c r="W407" s="22"/>
      <c r="Z407" s="27">
        <f t="shared" si="6"/>
        <v>1</v>
      </c>
    </row>
    <row r="408" spans="1:26" ht="20" customHeight="1">
      <c r="A408" s="3" t="s">
        <v>99</v>
      </c>
      <c r="B408" s="3" t="s">
        <v>921</v>
      </c>
      <c r="C408" s="3" t="s">
        <v>922</v>
      </c>
      <c r="D408" s="3" t="s">
        <v>30</v>
      </c>
      <c r="E408" s="3" t="s">
        <v>23</v>
      </c>
      <c r="F408" s="25"/>
      <c r="G408" s="3">
        <v>1</v>
      </c>
      <c r="H408" s="3">
        <v>2</v>
      </c>
      <c r="I408" s="3">
        <v>0</v>
      </c>
      <c r="J408" s="3">
        <v>2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18"/>
      <c r="Q408" s="18"/>
      <c r="R408" s="18"/>
      <c r="S408" s="3"/>
      <c r="T408" s="3"/>
      <c r="U408" s="3"/>
      <c r="V408" s="3"/>
      <c r="W408" s="22"/>
      <c r="Z408" s="27">
        <f t="shared" si="6"/>
        <v>2</v>
      </c>
    </row>
    <row r="409" spans="1:26" ht="23" customHeight="1">
      <c r="A409" s="3" t="s">
        <v>923</v>
      </c>
      <c r="B409" s="3" t="s">
        <v>924</v>
      </c>
      <c r="C409" s="3" t="s">
        <v>925</v>
      </c>
      <c r="D409" s="3" t="s">
        <v>30</v>
      </c>
      <c r="E409" s="3" t="s">
        <v>23</v>
      </c>
      <c r="F409" s="25"/>
      <c r="G409" s="3">
        <v>2</v>
      </c>
      <c r="H409" s="3">
        <v>2</v>
      </c>
      <c r="I409" s="3">
        <v>0</v>
      </c>
      <c r="J409" s="3">
        <v>2</v>
      </c>
      <c r="K409" s="3">
        <v>0</v>
      </c>
      <c r="L409" s="3">
        <v>0</v>
      </c>
      <c r="M409" s="3">
        <v>1</v>
      </c>
      <c r="N409" s="3">
        <v>0</v>
      </c>
      <c r="O409" s="3">
        <v>0</v>
      </c>
      <c r="P409" s="18"/>
      <c r="Q409" s="18"/>
      <c r="R409" s="18"/>
      <c r="S409" s="3"/>
      <c r="T409" s="3">
        <v>-1</v>
      </c>
      <c r="U409" s="3">
        <v>-1</v>
      </c>
      <c r="V409" s="3"/>
      <c r="W409" s="22"/>
      <c r="Z409" s="27">
        <f t="shared" si="6"/>
        <v>1</v>
      </c>
    </row>
    <row r="410" spans="1:26" ht="23" customHeight="1">
      <c r="A410" s="3" t="s">
        <v>926</v>
      </c>
      <c r="B410" s="3" t="s">
        <v>927</v>
      </c>
      <c r="C410" s="3" t="s">
        <v>229</v>
      </c>
      <c r="D410" s="3" t="s">
        <v>22</v>
      </c>
      <c r="E410" s="3" t="s">
        <v>23</v>
      </c>
      <c r="F410" s="25"/>
      <c r="G410" s="3">
        <v>4</v>
      </c>
      <c r="H410" s="3">
        <v>30</v>
      </c>
      <c r="I410" s="3">
        <v>0</v>
      </c>
      <c r="J410" s="3">
        <v>14</v>
      </c>
      <c r="K410" s="3">
        <v>0</v>
      </c>
      <c r="L410" s="3">
        <v>0</v>
      </c>
      <c r="M410" s="3">
        <v>0</v>
      </c>
      <c r="N410" s="3">
        <v>1</v>
      </c>
      <c r="O410" s="3">
        <v>15</v>
      </c>
      <c r="P410" s="18"/>
      <c r="Q410" s="18"/>
      <c r="R410" s="18"/>
      <c r="S410" s="3"/>
      <c r="T410" s="3">
        <v>-4</v>
      </c>
      <c r="U410" s="3">
        <v>-21</v>
      </c>
      <c r="V410" s="3">
        <v>1593168.4724999999</v>
      </c>
      <c r="W410" s="22"/>
      <c r="Z410" s="27">
        <f t="shared" si="6"/>
        <v>3.5</v>
      </c>
    </row>
    <row r="411" spans="1:26" ht="23" customHeight="1">
      <c r="A411" s="3" t="s">
        <v>928</v>
      </c>
      <c r="B411" s="3" t="s">
        <v>929</v>
      </c>
      <c r="C411" s="3" t="s">
        <v>930</v>
      </c>
      <c r="D411" s="3" t="s">
        <v>22</v>
      </c>
      <c r="E411" s="3" t="s">
        <v>23</v>
      </c>
      <c r="F411" s="25"/>
      <c r="G411" s="3">
        <v>3</v>
      </c>
      <c r="H411" s="3">
        <v>15</v>
      </c>
      <c r="I411" s="3">
        <v>0</v>
      </c>
      <c r="J411" s="3">
        <v>14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18"/>
      <c r="Q411" s="18"/>
      <c r="R411" s="18"/>
      <c r="S411" s="3"/>
      <c r="T411" s="3">
        <v>0</v>
      </c>
      <c r="U411" s="3">
        <v>-24</v>
      </c>
      <c r="V411" s="3">
        <v>680811.177822222</v>
      </c>
      <c r="W411" s="22"/>
      <c r="Z411" s="27">
        <f t="shared" si="6"/>
        <v>4.666666666666667</v>
      </c>
    </row>
    <row r="412" spans="1:26" ht="23" customHeight="1">
      <c r="A412" s="3" t="s">
        <v>931</v>
      </c>
      <c r="B412" s="3" t="s">
        <v>932</v>
      </c>
      <c r="C412" s="3" t="s">
        <v>933</v>
      </c>
      <c r="D412" s="3" t="s">
        <v>22</v>
      </c>
      <c r="E412" s="3" t="s">
        <v>23</v>
      </c>
      <c r="F412" s="25"/>
      <c r="G412" s="3">
        <v>1</v>
      </c>
      <c r="H412" s="3">
        <v>7</v>
      </c>
      <c r="I412" s="3">
        <v>0</v>
      </c>
      <c r="J412" s="3">
        <v>3</v>
      </c>
      <c r="K412" s="3">
        <v>0</v>
      </c>
      <c r="L412" s="3">
        <v>0</v>
      </c>
      <c r="M412" s="3">
        <v>0</v>
      </c>
      <c r="N412" s="3">
        <v>0</v>
      </c>
      <c r="O412" s="3">
        <v>4</v>
      </c>
      <c r="P412" s="18"/>
      <c r="Q412" s="18"/>
      <c r="R412" s="18"/>
      <c r="S412" s="3"/>
      <c r="T412" s="3">
        <v>-2</v>
      </c>
      <c r="U412" s="3">
        <v>-6</v>
      </c>
      <c r="V412" s="3">
        <v>1838070.9242499999</v>
      </c>
      <c r="W412" s="22"/>
      <c r="Z412" s="27">
        <f t="shared" si="6"/>
        <v>3</v>
      </c>
    </row>
    <row r="413" spans="1:26" ht="20" customHeight="1">
      <c r="A413" s="3" t="s">
        <v>56</v>
      </c>
      <c r="B413" s="3" t="s">
        <v>934</v>
      </c>
      <c r="C413" s="3" t="s">
        <v>935</v>
      </c>
      <c r="D413" s="3" t="s">
        <v>22</v>
      </c>
      <c r="E413" s="3" t="s">
        <v>23</v>
      </c>
      <c r="F413" s="25"/>
      <c r="G413" s="3">
        <v>3</v>
      </c>
      <c r="H413" s="3">
        <v>8</v>
      </c>
      <c r="I413" s="3">
        <v>0</v>
      </c>
      <c r="J413" s="3">
        <v>3</v>
      </c>
      <c r="K413" s="3">
        <v>0</v>
      </c>
      <c r="L413" s="3">
        <v>0</v>
      </c>
      <c r="M413" s="3">
        <v>0</v>
      </c>
      <c r="N413" s="3">
        <v>0</v>
      </c>
      <c r="O413" s="3">
        <v>5</v>
      </c>
      <c r="P413" s="18"/>
      <c r="Q413" s="18"/>
      <c r="R413" s="18"/>
      <c r="S413" s="3"/>
      <c r="T413" s="3">
        <v>0</v>
      </c>
      <c r="U413" s="3">
        <v>-13</v>
      </c>
      <c r="V413" s="3">
        <v>1027498.45</v>
      </c>
      <c r="W413" s="22"/>
      <c r="Z413" s="27">
        <f t="shared" si="6"/>
        <v>1</v>
      </c>
    </row>
    <row r="414" spans="1:26" ht="23" customHeight="1">
      <c r="A414" s="3" t="s">
        <v>928</v>
      </c>
      <c r="B414" s="3" t="s">
        <v>936</v>
      </c>
      <c r="C414" s="3" t="s">
        <v>930</v>
      </c>
      <c r="D414" s="3" t="s">
        <v>22</v>
      </c>
      <c r="E414" s="3" t="s">
        <v>23</v>
      </c>
      <c r="F414" s="25"/>
      <c r="G414" s="3">
        <v>2</v>
      </c>
      <c r="H414" s="3">
        <v>6</v>
      </c>
      <c r="I414" s="3">
        <v>0</v>
      </c>
      <c r="J414" s="3">
        <v>3</v>
      </c>
      <c r="K414" s="3">
        <v>0</v>
      </c>
      <c r="L414" s="3">
        <v>0</v>
      </c>
      <c r="M414" s="3">
        <v>0</v>
      </c>
      <c r="N414" s="3">
        <v>2</v>
      </c>
      <c r="O414" s="3">
        <v>1</v>
      </c>
      <c r="P414" s="18"/>
      <c r="Q414" s="18"/>
      <c r="R414" s="18"/>
      <c r="S414" s="3"/>
      <c r="T414" s="3">
        <v>0</v>
      </c>
      <c r="U414" s="3">
        <v>-6</v>
      </c>
      <c r="V414" s="3">
        <v>531962.71837985714</v>
      </c>
      <c r="W414" s="22"/>
      <c r="Z414" s="27">
        <f t="shared" si="6"/>
        <v>1.5</v>
      </c>
    </row>
    <row r="415" spans="1:26" ht="23" customHeight="1">
      <c r="A415" s="3" t="s">
        <v>51</v>
      </c>
      <c r="B415" s="3" t="s">
        <v>937</v>
      </c>
      <c r="C415" s="3" t="s">
        <v>938</v>
      </c>
      <c r="D415" s="3" t="s">
        <v>22</v>
      </c>
      <c r="E415" s="3" t="s">
        <v>23</v>
      </c>
      <c r="F415" s="25"/>
      <c r="G415" s="3">
        <v>1</v>
      </c>
      <c r="H415" s="3">
        <v>2</v>
      </c>
      <c r="I415" s="3">
        <v>0</v>
      </c>
      <c r="J415" s="3">
        <v>0</v>
      </c>
      <c r="K415" s="3">
        <v>2</v>
      </c>
      <c r="L415" s="3">
        <v>0</v>
      </c>
      <c r="M415" s="3">
        <v>0</v>
      </c>
      <c r="N415" s="3">
        <v>0</v>
      </c>
      <c r="O415" s="3">
        <v>0</v>
      </c>
      <c r="P415" s="18"/>
      <c r="Q415" s="18"/>
      <c r="R415" s="18"/>
      <c r="S415" s="3"/>
      <c r="T415" s="3">
        <v>0</v>
      </c>
      <c r="U415" s="3">
        <v>-2</v>
      </c>
      <c r="V415" s="3">
        <v>140618.59220499999</v>
      </c>
      <c r="W415" s="22"/>
      <c r="Z415" s="27">
        <f t="shared" si="6"/>
        <v>0</v>
      </c>
    </row>
    <row r="416" spans="1:26" ht="23" customHeight="1">
      <c r="A416" s="3" t="s">
        <v>939</v>
      </c>
      <c r="B416" s="3" t="s">
        <v>940</v>
      </c>
      <c r="C416" s="3" t="s">
        <v>941</v>
      </c>
      <c r="D416" s="3" t="s">
        <v>22</v>
      </c>
      <c r="E416" s="3" t="s">
        <v>23</v>
      </c>
      <c r="F416" s="25"/>
      <c r="G416" s="3">
        <v>1</v>
      </c>
      <c r="H416" s="3">
        <v>5</v>
      </c>
      <c r="I416" s="3">
        <v>0</v>
      </c>
      <c r="J416" s="3">
        <v>5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18"/>
      <c r="Q416" s="18"/>
      <c r="R416" s="18"/>
      <c r="S416" s="3"/>
      <c r="T416" s="3"/>
      <c r="U416" s="3"/>
      <c r="V416" s="3">
        <v>387599.46</v>
      </c>
      <c r="W416" s="22"/>
      <c r="Z416" s="27">
        <f t="shared" si="6"/>
        <v>5</v>
      </c>
    </row>
    <row r="417" spans="1:26" ht="34" customHeight="1">
      <c r="A417" s="3" t="s">
        <v>942</v>
      </c>
      <c r="B417" s="3" t="s">
        <v>943</v>
      </c>
      <c r="C417" s="3" t="s">
        <v>944</v>
      </c>
      <c r="D417" s="3" t="s">
        <v>22</v>
      </c>
      <c r="E417" s="3" t="s">
        <v>23</v>
      </c>
      <c r="F417" s="25"/>
      <c r="G417" s="3">
        <v>1</v>
      </c>
      <c r="H417" s="3">
        <v>5</v>
      </c>
      <c r="I417" s="3">
        <v>0</v>
      </c>
      <c r="J417" s="3">
        <v>5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18"/>
      <c r="Q417" s="18"/>
      <c r="R417" s="18"/>
      <c r="S417" s="3"/>
      <c r="T417" s="3"/>
      <c r="U417" s="3"/>
      <c r="V417" s="3">
        <v>600000</v>
      </c>
      <c r="W417" s="22"/>
      <c r="Z417" s="27">
        <f t="shared" si="6"/>
        <v>5</v>
      </c>
    </row>
    <row r="418" spans="1:26" ht="23" customHeight="1">
      <c r="A418" s="3" t="s">
        <v>48</v>
      </c>
      <c r="B418" s="3" t="s">
        <v>945</v>
      </c>
      <c r="C418" s="3" t="s">
        <v>373</v>
      </c>
      <c r="D418" s="3" t="s">
        <v>22</v>
      </c>
      <c r="E418" s="3" t="s">
        <v>23</v>
      </c>
      <c r="F418" s="25"/>
      <c r="G418" s="3">
        <v>1</v>
      </c>
      <c r="H418" s="3">
        <v>1</v>
      </c>
      <c r="I418" s="3">
        <v>0</v>
      </c>
      <c r="J418" s="3">
        <v>1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18"/>
      <c r="Q418" s="18"/>
      <c r="R418" s="18"/>
      <c r="S418" s="3"/>
      <c r="T418" s="3">
        <v>0</v>
      </c>
      <c r="U418" s="3">
        <v>-1</v>
      </c>
      <c r="V418" s="3">
        <v>186239.64</v>
      </c>
      <c r="W418" s="22"/>
      <c r="Z418" s="27">
        <f t="shared" si="6"/>
        <v>1</v>
      </c>
    </row>
    <row r="419" spans="1:26" ht="23" customHeight="1">
      <c r="A419" s="3" t="s">
        <v>48</v>
      </c>
      <c r="B419" s="3" t="s">
        <v>946</v>
      </c>
      <c r="C419" s="3" t="s">
        <v>373</v>
      </c>
      <c r="D419" s="3" t="s">
        <v>22</v>
      </c>
      <c r="E419" s="3" t="s">
        <v>23</v>
      </c>
      <c r="F419" s="25"/>
      <c r="G419" s="3">
        <v>1</v>
      </c>
      <c r="H419" s="3">
        <v>5</v>
      </c>
      <c r="I419" s="3">
        <v>0</v>
      </c>
      <c r="J419" s="3">
        <v>4</v>
      </c>
      <c r="K419" s="3">
        <v>0</v>
      </c>
      <c r="L419" s="3">
        <v>0</v>
      </c>
      <c r="M419" s="3">
        <v>0</v>
      </c>
      <c r="N419" s="3">
        <v>0</v>
      </c>
      <c r="O419" s="3">
        <v>1</v>
      </c>
      <c r="P419" s="18"/>
      <c r="Q419" s="18"/>
      <c r="R419" s="18"/>
      <c r="S419" s="3"/>
      <c r="T419" s="3">
        <v>-1</v>
      </c>
      <c r="U419" s="3">
        <v>-2</v>
      </c>
      <c r="V419" s="3"/>
      <c r="W419" s="22"/>
      <c r="Z419" s="27">
        <f t="shared" si="6"/>
        <v>4</v>
      </c>
    </row>
    <row r="420" spans="1:26" ht="23" customHeight="1">
      <c r="A420" s="3" t="s">
        <v>48</v>
      </c>
      <c r="B420" s="3" t="s">
        <v>947</v>
      </c>
      <c r="C420" s="3" t="s">
        <v>373</v>
      </c>
      <c r="D420" s="3" t="s">
        <v>22</v>
      </c>
      <c r="E420" s="3" t="s">
        <v>23</v>
      </c>
      <c r="F420" s="25"/>
      <c r="G420" s="3">
        <v>1</v>
      </c>
      <c r="H420" s="3">
        <v>2</v>
      </c>
      <c r="I420" s="3">
        <v>0</v>
      </c>
      <c r="J420" s="3">
        <v>2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18"/>
      <c r="Q420" s="18"/>
      <c r="R420" s="18"/>
      <c r="S420" s="3"/>
      <c r="T420" s="3">
        <v>0</v>
      </c>
      <c r="U420" s="3">
        <v>-1</v>
      </c>
      <c r="V420" s="3">
        <v>1550197.5011749999</v>
      </c>
      <c r="W420" s="22"/>
      <c r="Z420" s="27">
        <f t="shared" si="6"/>
        <v>2</v>
      </c>
    </row>
    <row r="421" spans="1:26" ht="20" customHeight="1">
      <c r="A421" s="3" t="s">
        <v>48</v>
      </c>
      <c r="B421" s="3" t="s">
        <v>948</v>
      </c>
      <c r="C421" s="3" t="s">
        <v>50</v>
      </c>
      <c r="D421" s="3" t="s">
        <v>22</v>
      </c>
      <c r="E421" s="3" t="s">
        <v>23</v>
      </c>
      <c r="F421" s="25"/>
      <c r="G421" s="3">
        <v>1</v>
      </c>
      <c r="H421" s="3">
        <v>9</v>
      </c>
      <c r="I421" s="3">
        <v>0</v>
      </c>
      <c r="J421" s="3">
        <v>9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18"/>
      <c r="Q421" s="18"/>
      <c r="R421" s="18"/>
      <c r="S421" s="3"/>
      <c r="T421" s="3"/>
      <c r="U421" s="3"/>
      <c r="V421" s="3"/>
      <c r="W421" s="22"/>
      <c r="Z421" s="27">
        <f t="shared" si="6"/>
        <v>9</v>
      </c>
    </row>
    <row r="422" spans="1:26" ht="23" customHeight="1">
      <c r="A422" s="3" t="s">
        <v>48</v>
      </c>
      <c r="B422" s="3" t="s">
        <v>949</v>
      </c>
      <c r="C422" s="3" t="s">
        <v>950</v>
      </c>
      <c r="D422" s="3" t="s">
        <v>22</v>
      </c>
      <c r="E422" s="3" t="s">
        <v>23</v>
      </c>
      <c r="F422" s="25"/>
      <c r="G422" s="3">
        <v>1</v>
      </c>
      <c r="H422" s="3">
        <v>1</v>
      </c>
      <c r="I422" s="3">
        <v>0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18"/>
      <c r="Q422" s="18"/>
      <c r="R422" s="18"/>
      <c r="S422" s="3"/>
      <c r="T422" s="3"/>
      <c r="U422" s="3"/>
      <c r="V422" s="3"/>
      <c r="W422" s="22"/>
      <c r="Z422" s="27">
        <f t="shared" si="6"/>
        <v>1</v>
      </c>
    </row>
    <row r="423" spans="1:26" ht="23" customHeight="1">
      <c r="A423" s="3" t="s">
        <v>45</v>
      </c>
      <c r="B423" s="3" t="s">
        <v>951</v>
      </c>
      <c r="C423" s="3" t="s">
        <v>375</v>
      </c>
      <c r="D423" s="3" t="s">
        <v>22</v>
      </c>
      <c r="E423" s="3" t="s">
        <v>23</v>
      </c>
      <c r="F423" s="25"/>
      <c r="G423" s="3">
        <v>1</v>
      </c>
      <c r="H423" s="3">
        <v>1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18"/>
      <c r="Q423" s="18"/>
      <c r="R423" s="18"/>
      <c r="S423" s="3"/>
      <c r="T423" s="3"/>
      <c r="U423" s="3"/>
      <c r="V423" s="3">
        <v>0</v>
      </c>
      <c r="W423" s="22"/>
      <c r="Z423" s="27">
        <f t="shared" si="6"/>
        <v>1</v>
      </c>
    </row>
    <row r="424" spans="1:26" ht="23" customHeight="1">
      <c r="A424" s="3" t="s">
        <v>48</v>
      </c>
      <c r="B424" s="3" t="s">
        <v>952</v>
      </c>
      <c r="C424" s="3" t="s">
        <v>375</v>
      </c>
      <c r="D424" s="3" t="s">
        <v>22</v>
      </c>
      <c r="E424" s="3" t="s">
        <v>23</v>
      </c>
      <c r="F424" s="25"/>
      <c r="G424" s="3">
        <v>1</v>
      </c>
      <c r="H424" s="3">
        <v>3</v>
      </c>
      <c r="I424" s="3">
        <v>0</v>
      </c>
      <c r="J424" s="3">
        <v>3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18"/>
      <c r="Q424" s="18"/>
      <c r="R424" s="18"/>
      <c r="S424" s="3"/>
      <c r="T424" s="3"/>
      <c r="U424" s="3"/>
      <c r="V424" s="3"/>
      <c r="W424" s="22"/>
      <c r="Z424" s="27">
        <f t="shared" si="6"/>
        <v>3</v>
      </c>
    </row>
    <row r="425" spans="1:26" ht="23" customHeight="1">
      <c r="A425" s="3" t="s">
        <v>48</v>
      </c>
      <c r="B425" s="3" t="s">
        <v>953</v>
      </c>
      <c r="C425" s="3" t="s">
        <v>377</v>
      </c>
      <c r="D425" s="3" t="s">
        <v>22</v>
      </c>
      <c r="E425" s="3" t="s">
        <v>145</v>
      </c>
      <c r="F425" s="25"/>
      <c r="G425" s="3">
        <v>1</v>
      </c>
      <c r="H425" s="3">
        <v>3</v>
      </c>
      <c r="I425" s="3">
        <v>0</v>
      </c>
      <c r="J425" s="3">
        <v>3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18"/>
      <c r="Q425" s="18"/>
      <c r="R425" s="18"/>
      <c r="S425" s="3"/>
      <c r="T425" s="3"/>
      <c r="U425" s="3"/>
      <c r="V425" s="3">
        <v>387678.06</v>
      </c>
      <c r="W425" s="22"/>
      <c r="Z425" s="27">
        <f t="shared" si="6"/>
        <v>3</v>
      </c>
    </row>
    <row r="426" spans="1:26" ht="20" customHeight="1">
      <c r="A426" s="3" t="s">
        <v>954</v>
      </c>
      <c r="B426" s="3" t="s">
        <v>955</v>
      </c>
      <c r="C426" s="3" t="s">
        <v>956</v>
      </c>
      <c r="D426" s="3" t="s">
        <v>22</v>
      </c>
      <c r="E426" s="3" t="s">
        <v>23</v>
      </c>
      <c r="F426" s="25"/>
      <c r="G426" s="3">
        <v>1</v>
      </c>
      <c r="H426" s="3">
        <v>5</v>
      </c>
      <c r="I426" s="3">
        <v>0</v>
      </c>
      <c r="J426" s="3">
        <v>5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18"/>
      <c r="Q426" s="18"/>
      <c r="R426" s="18"/>
      <c r="S426" s="3"/>
      <c r="T426" s="3"/>
      <c r="U426" s="3"/>
      <c r="V426" s="3">
        <v>225000</v>
      </c>
      <c r="W426" s="22"/>
      <c r="Z426" s="27">
        <f t="shared" si="6"/>
        <v>5</v>
      </c>
    </row>
    <row r="427" spans="1:26" ht="23" customHeight="1">
      <c r="A427" s="3" t="s">
        <v>939</v>
      </c>
      <c r="B427" s="3" t="s">
        <v>957</v>
      </c>
      <c r="C427" s="3" t="s">
        <v>958</v>
      </c>
      <c r="D427" s="3" t="s">
        <v>22</v>
      </c>
      <c r="E427" s="3" t="s">
        <v>23</v>
      </c>
      <c r="F427" s="25"/>
      <c r="G427" s="3">
        <v>1</v>
      </c>
      <c r="H427" s="3">
        <v>7</v>
      </c>
      <c r="I427" s="3">
        <v>0</v>
      </c>
      <c r="J427" s="3">
        <v>2</v>
      </c>
      <c r="K427" s="3">
        <v>5</v>
      </c>
      <c r="L427" s="3">
        <v>0</v>
      </c>
      <c r="M427" s="3">
        <v>0</v>
      </c>
      <c r="N427" s="3">
        <v>0</v>
      </c>
      <c r="O427" s="3">
        <v>0</v>
      </c>
      <c r="P427" s="18"/>
      <c r="Q427" s="18"/>
      <c r="R427" s="18"/>
      <c r="S427" s="3">
        <v>3</v>
      </c>
      <c r="T427" s="3">
        <v>0</v>
      </c>
      <c r="U427" s="3">
        <v>-7</v>
      </c>
      <c r="V427" s="3">
        <v>341429.5407966667</v>
      </c>
      <c r="W427" s="22"/>
      <c r="Z427" s="27">
        <f t="shared" si="6"/>
        <v>2</v>
      </c>
    </row>
    <row r="428" spans="1:26" ht="23" customHeight="1">
      <c r="A428" s="3" t="s">
        <v>939</v>
      </c>
      <c r="B428" s="3" t="s">
        <v>959</v>
      </c>
      <c r="C428" s="3" t="s">
        <v>960</v>
      </c>
      <c r="D428" s="3" t="s">
        <v>22</v>
      </c>
      <c r="E428" s="3" t="s">
        <v>23</v>
      </c>
      <c r="F428" s="25"/>
      <c r="G428" s="3">
        <v>3</v>
      </c>
      <c r="H428" s="3">
        <v>31</v>
      </c>
      <c r="I428" s="3">
        <v>0</v>
      </c>
      <c r="J428" s="3">
        <v>12</v>
      </c>
      <c r="K428" s="3">
        <v>7</v>
      </c>
      <c r="L428" s="3">
        <v>0</v>
      </c>
      <c r="M428" s="3">
        <v>0</v>
      </c>
      <c r="N428" s="3">
        <v>2</v>
      </c>
      <c r="O428" s="3">
        <v>10</v>
      </c>
      <c r="P428" s="18"/>
      <c r="Q428" s="18"/>
      <c r="R428" s="18"/>
      <c r="S428" s="3">
        <v>8</v>
      </c>
      <c r="T428" s="3">
        <v>-1</v>
      </c>
      <c r="U428" s="3">
        <v>-24</v>
      </c>
      <c r="V428" s="3">
        <v>492869.15312489471</v>
      </c>
      <c r="W428" s="22"/>
      <c r="Z428" s="27">
        <f t="shared" si="6"/>
        <v>4</v>
      </c>
    </row>
    <row r="429" spans="1:26" ht="23" customHeight="1">
      <c r="A429" s="3" t="s">
        <v>59</v>
      </c>
      <c r="B429" s="3" t="s">
        <v>961</v>
      </c>
      <c r="C429" s="3" t="s">
        <v>61</v>
      </c>
      <c r="D429" s="3" t="s">
        <v>22</v>
      </c>
      <c r="E429" s="3" t="s">
        <v>23</v>
      </c>
      <c r="F429" s="25"/>
      <c r="G429" s="3">
        <v>2</v>
      </c>
      <c r="H429" s="3">
        <v>2</v>
      </c>
      <c r="I429" s="3">
        <v>0</v>
      </c>
      <c r="J429" s="3">
        <v>2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18"/>
      <c r="Q429" s="18"/>
      <c r="R429" s="18"/>
      <c r="S429" s="3"/>
      <c r="T429" s="3">
        <v>0</v>
      </c>
      <c r="U429" s="3">
        <v>-2</v>
      </c>
      <c r="V429" s="3">
        <v>1928487.0446765553</v>
      </c>
      <c r="W429" s="22"/>
      <c r="Z429" s="27">
        <f t="shared" si="6"/>
        <v>1</v>
      </c>
    </row>
    <row r="430" spans="1:26" ht="23" customHeight="1">
      <c r="A430" s="3" t="s">
        <v>928</v>
      </c>
      <c r="B430" s="3" t="s">
        <v>962</v>
      </c>
      <c r="C430" s="3" t="s">
        <v>963</v>
      </c>
      <c r="D430" s="3" t="s">
        <v>22</v>
      </c>
      <c r="E430" s="3" t="s">
        <v>23</v>
      </c>
      <c r="F430" s="25"/>
      <c r="G430" s="3">
        <v>1</v>
      </c>
      <c r="H430" s="3">
        <v>4</v>
      </c>
      <c r="I430" s="3">
        <v>0</v>
      </c>
      <c r="J430" s="3">
        <v>2</v>
      </c>
      <c r="K430" s="3">
        <v>0</v>
      </c>
      <c r="L430" s="3">
        <v>0</v>
      </c>
      <c r="M430" s="3">
        <v>0</v>
      </c>
      <c r="N430" s="3">
        <v>1</v>
      </c>
      <c r="O430" s="3">
        <v>1</v>
      </c>
      <c r="P430" s="18"/>
      <c r="Q430" s="18"/>
      <c r="R430" s="18"/>
      <c r="S430" s="3"/>
      <c r="T430" s="3">
        <v>0</v>
      </c>
      <c r="U430" s="3">
        <v>-8</v>
      </c>
      <c r="V430" s="3">
        <v>1740264.6000000006</v>
      </c>
      <c r="W430" s="22"/>
      <c r="Z430" s="27">
        <f t="shared" si="6"/>
        <v>2</v>
      </c>
    </row>
    <row r="431" spans="1:26" ht="20" customHeight="1">
      <c r="A431" s="3" t="s">
        <v>928</v>
      </c>
      <c r="B431" s="3" t="s">
        <v>964</v>
      </c>
      <c r="C431" s="3" t="s">
        <v>963</v>
      </c>
      <c r="D431" s="3" t="s">
        <v>22</v>
      </c>
      <c r="E431" s="3" t="s">
        <v>23</v>
      </c>
      <c r="F431" s="25"/>
      <c r="G431" s="3">
        <v>1</v>
      </c>
      <c r="H431" s="3">
        <v>3</v>
      </c>
      <c r="I431" s="3">
        <v>0</v>
      </c>
      <c r="J431" s="3">
        <v>1</v>
      </c>
      <c r="K431" s="3">
        <v>0</v>
      </c>
      <c r="L431" s="3">
        <v>0</v>
      </c>
      <c r="M431" s="3">
        <v>0</v>
      </c>
      <c r="N431" s="3">
        <v>1</v>
      </c>
      <c r="O431" s="3">
        <v>1</v>
      </c>
      <c r="P431" s="18"/>
      <c r="Q431" s="18"/>
      <c r="R431" s="18"/>
      <c r="S431" s="3"/>
      <c r="T431" s="3">
        <v>0</v>
      </c>
      <c r="U431" s="3">
        <v>-8</v>
      </c>
      <c r="V431" s="3">
        <v>1716968.1</v>
      </c>
      <c r="W431" s="22"/>
      <c r="Z431" s="27">
        <f t="shared" si="6"/>
        <v>1</v>
      </c>
    </row>
    <row r="432" spans="1:26" ht="23" customHeight="1">
      <c r="A432" s="3" t="s">
        <v>928</v>
      </c>
      <c r="B432" s="3" t="s">
        <v>965</v>
      </c>
      <c r="C432" s="3" t="s">
        <v>963</v>
      </c>
      <c r="D432" s="3" t="s">
        <v>22</v>
      </c>
      <c r="E432" s="3" t="s">
        <v>23</v>
      </c>
      <c r="F432" s="25"/>
      <c r="G432" s="3">
        <v>1</v>
      </c>
      <c r="H432" s="3">
        <v>5</v>
      </c>
      <c r="I432" s="3">
        <v>0</v>
      </c>
      <c r="J432" s="3">
        <v>4</v>
      </c>
      <c r="K432" s="3">
        <v>0</v>
      </c>
      <c r="L432" s="3">
        <v>0</v>
      </c>
      <c r="M432" s="3">
        <v>0</v>
      </c>
      <c r="N432" s="3">
        <v>1</v>
      </c>
      <c r="O432" s="3">
        <v>0</v>
      </c>
      <c r="P432" s="18"/>
      <c r="Q432" s="18"/>
      <c r="R432" s="18"/>
      <c r="S432" s="3"/>
      <c r="T432" s="3">
        <v>-3</v>
      </c>
      <c r="U432" s="3">
        <v>-11</v>
      </c>
      <c r="V432" s="3">
        <v>2870014.7125515002</v>
      </c>
      <c r="W432" s="22"/>
      <c r="Z432" s="27">
        <f t="shared" si="6"/>
        <v>4</v>
      </c>
    </row>
    <row r="433" spans="1:27" ht="23" customHeight="1">
      <c r="A433" s="3" t="s">
        <v>928</v>
      </c>
      <c r="B433" s="3" t="s">
        <v>966</v>
      </c>
      <c r="C433" s="3" t="s">
        <v>963</v>
      </c>
      <c r="D433" s="3" t="s">
        <v>22</v>
      </c>
      <c r="E433" s="3" t="s">
        <v>23</v>
      </c>
      <c r="F433" s="25"/>
      <c r="G433" s="3">
        <v>1</v>
      </c>
      <c r="H433" s="3">
        <v>5</v>
      </c>
      <c r="I433" s="3">
        <v>0</v>
      </c>
      <c r="J433" s="3">
        <v>3</v>
      </c>
      <c r="K433" s="3">
        <v>0</v>
      </c>
      <c r="L433" s="3">
        <v>0</v>
      </c>
      <c r="M433" s="3">
        <v>0</v>
      </c>
      <c r="N433" s="3">
        <v>1</v>
      </c>
      <c r="O433" s="3">
        <v>1</v>
      </c>
      <c r="P433" s="18"/>
      <c r="Q433" s="18"/>
      <c r="R433" s="18"/>
      <c r="S433" s="3"/>
      <c r="T433" s="3">
        <v>0</v>
      </c>
      <c r="U433" s="3">
        <v>-10</v>
      </c>
      <c r="V433" s="3">
        <v>2689307.1312757502</v>
      </c>
      <c r="W433" s="22"/>
      <c r="Z433" s="27">
        <f t="shared" si="6"/>
        <v>3</v>
      </c>
    </row>
    <row r="434" spans="1:27" ht="23" customHeight="1">
      <c r="A434" s="3" t="s">
        <v>967</v>
      </c>
      <c r="B434" s="3" t="s">
        <v>968</v>
      </c>
      <c r="C434" s="3" t="s">
        <v>969</v>
      </c>
      <c r="D434" s="3" t="s">
        <v>22</v>
      </c>
      <c r="E434" s="3" t="s">
        <v>23</v>
      </c>
      <c r="F434" s="25"/>
      <c r="G434" s="3">
        <v>1</v>
      </c>
      <c r="H434" s="3">
        <v>1</v>
      </c>
      <c r="I434" s="3">
        <v>0</v>
      </c>
      <c r="J434" s="3">
        <v>1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18"/>
      <c r="Q434" s="18"/>
      <c r="R434" s="18"/>
      <c r="S434" s="3"/>
      <c r="T434" s="3"/>
      <c r="U434" s="3"/>
      <c r="V434" s="3">
        <v>120000</v>
      </c>
      <c r="W434" s="22"/>
      <c r="Z434" s="27">
        <f t="shared" si="6"/>
        <v>1</v>
      </c>
    </row>
    <row r="435" spans="1:27" ht="34" customHeight="1">
      <c r="A435" s="3" t="s">
        <v>942</v>
      </c>
      <c r="B435" s="3" t="s">
        <v>970</v>
      </c>
      <c r="C435" s="3" t="s">
        <v>944</v>
      </c>
      <c r="D435" s="3" t="s">
        <v>22</v>
      </c>
      <c r="E435" s="3" t="s">
        <v>23</v>
      </c>
      <c r="F435" s="25"/>
      <c r="G435" s="3">
        <v>1</v>
      </c>
      <c r="H435" s="3">
        <v>2</v>
      </c>
      <c r="I435" s="3">
        <v>0</v>
      </c>
      <c r="J435" s="3">
        <v>2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18"/>
      <c r="Q435" s="18"/>
      <c r="R435" s="18"/>
      <c r="S435" s="3"/>
      <c r="T435" s="3">
        <v>0</v>
      </c>
      <c r="U435" s="3">
        <v>-1</v>
      </c>
      <c r="V435" s="3">
        <v>308971.48</v>
      </c>
      <c r="W435" s="22"/>
      <c r="Z435" s="27">
        <f t="shared" si="6"/>
        <v>2</v>
      </c>
    </row>
    <row r="436" spans="1:27" ht="20" customHeight="1">
      <c r="A436" s="3" t="s">
        <v>587</v>
      </c>
      <c r="B436" s="3" t="s">
        <v>971</v>
      </c>
      <c r="C436" s="3" t="s">
        <v>972</v>
      </c>
      <c r="D436" s="3" t="s">
        <v>22</v>
      </c>
      <c r="E436" s="3" t="s">
        <v>91</v>
      </c>
      <c r="F436" s="25"/>
      <c r="G436" s="3">
        <v>2</v>
      </c>
      <c r="H436" s="3">
        <v>4</v>
      </c>
      <c r="I436" s="3">
        <v>0</v>
      </c>
      <c r="J436" s="3">
        <v>2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18"/>
      <c r="Q436" s="18"/>
      <c r="R436" s="18"/>
      <c r="S436" s="3"/>
      <c r="T436" s="3"/>
      <c r="U436" s="3"/>
      <c r="V436" s="3"/>
      <c r="W436" s="22"/>
      <c r="Z436" s="27">
        <f t="shared" si="6"/>
        <v>1</v>
      </c>
    </row>
    <row r="437" spans="1:27" ht="20" customHeight="1">
      <c r="A437" s="3" t="s">
        <v>973</v>
      </c>
      <c r="B437" s="3" t="s">
        <v>974</v>
      </c>
      <c r="C437" s="3" t="s">
        <v>975</v>
      </c>
      <c r="D437" s="3" t="s">
        <v>22</v>
      </c>
      <c r="E437" s="3" t="s">
        <v>23</v>
      </c>
      <c r="F437" s="25"/>
      <c r="G437" s="3">
        <v>2</v>
      </c>
      <c r="H437" s="3">
        <v>4</v>
      </c>
      <c r="I437" s="3">
        <v>0</v>
      </c>
      <c r="J437" s="3">
        <v>2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18"/>
      <c r="Q437" s="18"/>
      <c r="R437" s="18"/>
      <c r="S437" s="3"/>
      <c r="T437" s="3"/>
      <c r="U437" s="3"/>
      <c r="V437" s="3">
        <v>1001783.59</v>
      </c>
      <c r="W437" s="22"/>
      <c r="Z437" s="27">
        <f t="shared" si="6"/>
        <v>1</v>
      </c>
    </row>
    <row r="438" spans="1:27" ht="23" customHeight="1">
      <c r="A438" s="3" t="s">
        <v>587</v>
      </c>
      <c r="B438" s="3" t="s">
        <v>976</v>
      </c>
      <c r="C438" s="3" t="s">
        <v>977</v>
      </c>
      <c r="D438" s="3" t="s">
        <v>22</v>
      </c>
      <c r="E438" s="3" t="s">
        <v>91</v>
      </c>
      <c r="F438" s="25"/>
      <c r="G438" s="3">
        <v>2</v>
      </c>
      <c r="H438" s="3">
        <v>5</v>
      </c>
      <c r="I438" s="3">
        <v>0</v>
      </c>
      <c r="J438" s="3">
        <v>5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18"/>
      <c r="Q438" s="18"/>
      <c r="R438" s="18"/>
      <c r="S438" s="3"/>
      <c r="T438" s="3">
        <v>0</v>
      </c>
      <c r="U438" s="3">
        <v>-1</v>
      </c>
      <c r="V438" s="3"/>
      <c r="W438" s="22"/>
      <c r="Z438" s="27">
        <f t="shared" si="6"/>
        <v>2.5</v>
      </c>
    </row>
    <row r="439" spans="1:27" ht="23" customHeight="1">
      <c r="A439" s="3" t="s">
        <v>142</v>
      </c>
      <c r="B439" s="3" t="s">
        <v>978</v>
      </c>
      <c r="C439" s="3" t="s">
        <v>979</v>
      </c>
      <c r="D439" s="3" t="s">
        <v>22</v>
      </c>
      <c r="E439" s="3" t="s">
        <v>23</v>
      </c>
      <c r="F439" s="25"/>
      <c r="G439" s="3">
        <v>2</v>
      </c>
      <c r="H439" s="3">
        <v>2</v>
      </c>
      <c r="I439" s="3">
        <v>0</v>
      </c>
      <c r="J439" s="3">
        <v>2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18"/>
      <c r="Q439" s="18"/>
      <c r="R439" s="18"/>
      <c r="S439" s="3"/>
      <c r="T439" s="3"/>
      <c r="U439" s="3"/>
      <c r="V439" s="3">
        <v>68362.06</v>
      </c>
      <c r="W439" s="22"/>
      <c r="Z439" s="27">
        <f t="shared" si="6"/>
        <v>1</v>
      </c>
    </row>
    <row r="440" spans="1:27" ht="23" customHeight="1">
      <c r="A440" s="3" t="s">
        <v>457</v>
      </c>
      <c r="B440" s="3" t="s">
        <v>980</v>
      </c>
      <c r="C440" s="3" t="s">
        <v>969</v>
      </c>
      <c r="D440" s="3" t="s">
        <v>22</v>
      </c>
      <c r="E440" s="3" t="s">
        <v>23</v>
      </c>
      <c r="F440" s="25"/>
      <c r="G440" s="3">
        <v>2</v>
      </c>
      <c r="H440" s="3">
        <v>2</v>
      </c>
      <c r="I440" s="3">
        <v>0</v>
      </c>
      <c r="J440" s="3">
        <v>2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18"/>
      <c r="Q440" s="18"/>
      <c r="R440" s="18"/>
      <c r="S440" s="3"/>
      <c r="T440" s="3">
        <v>0</v>
      </c>
      <c r="U440" s="3">
        <v>-3</v>
      </c>
      <c r="V440" s="3">
        <v>149042.03355197224</v>
      </c>
      <c r="W440" s="22"/>
      <c r="Z440" s="27">
        <f t="shared" si="6"/>
        <v>1</v>
      </c>
    </row>
    <row r="441" spans="1:27" ht="20" customHeight="1">
      <c r="A441" s="3" t="s">
        <v>142</v>
      </c>
      <c r="B441" s="3" t="s">
        <v>981</v>
      </c>
      <c r="C441" s="3" t="s">
        <v>982</v>
      </c>
      <c r="D441" s="3" t="s">
        <v>22</v>
      </c>
      <c r="E441" s="3" t="s">
        <v>23</v>
      </c>
      <c r="F441" s="25"/>
      <c r="G441" s="3">
        <v>1</v>
      </c>
      <c r="H441" s="3">
        <v>3</v>
      </c>
      <c r="I441" s="3">
        <v>0</v>
      </c>
      <c r="J441" s="3">
        <v>3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18"/>
      <c r="Q441" s="18"/>
      <c r="R441" s="18"/>
      <c r="S441" s="3"/>
      <c r="T441" s="3"/>
      <c r="U441" s="3"/>
      <c r="V441" s="3">
        <v>0</v>
      </c>
      <c r="W441" s="22"/>
      <c r="Z441" s="27">
        <f t="shared" si="6"/>
        <v>3</v>
      </c>
    </row>
    <row r="442" spans="1:27" ht="20" customHeight="1">
      <c r="A442" s="3" t="s">
        <v>142</v>
      </c>
      <c r="B442" s="3" t="s">
        <v>983</v>
      </c>
      <c r="C442" s="3" t="s">
        <v>984</v>
      </c>
      <c r="D442" s="3" t="s">
        <v>22</v>
      </c>
      <c r="E442" s="3" t="s">
        <v>23</v>
      </c>
      <c r="F442" s="25"/>
      <c r="G442" s="3">
        <v>1</v>
      </c>
      <c r="H442" s="3">
        <v>2</v>
      </c>
      <c r="I442" s="3">
        <v>0</v>
      </c>
      <c r="J442" s="3">
        <v>2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18"/>
      <c r="Q442" s="18"/>
      <c r="R442" s="18"/>
      <c r="S442" s="3"/>
      <c r="T442" s="3"/>
      <c r="U442" s="3"/>
      <c r="V442" s="3">
        <v>530291.62</v>
      </c>
      <c r="W442" s="22"/>
      <c r="Z442" s="27">
        <f t="shared" si="6"/>
        <v>2</v>
      </c>
    </row>
    <row r="443" spans="1:27" ht="23" customHeight="1">
      <c r="A443" s="3" t="s">
        <v>985</v>
      </c>
      <c r="B443" s="3" t="s">
        <v>986</v>
      </c>
      <c r="C443" s="3" t="s">
        <v>987</v>
      </c>
      <c r="D443" s="3" t="s">
        <v>30</v>
      </c>
      <c r="E443" s="3" t="s">
        <v>23</v>
      </c>
      <c r="F443" s="25"/>
      <c r="G443" s="3">
        <v>2</v>
      </c>
      <c r="H443" s="3">
        <v>2</v>
      </c>
      <c r="I443" s="3">
        <v>0</v>
      </c>
      <c r="J443" s="3">
        <v>2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18"/>
      <c r="Q443" s="18"/>
      <c r="R443" s="18"/>
      <c r="S443" s="3"/>
      <c r="T443" s="3">
        <v>0</v>
      </c>
      <c r="U443" s="3">
        <v>-1</v>
      </c>
      <c r="V443" s="3">
        <v>4461265.0318053328</v>
      </c>
      <c r="W443" s="22"/>
      <c r="Z443" s="27">
        <f t="shared" si="6"/>
        <v>1</v>
      </c>
    </row>
    <row r="444" spans="1:27" ht="20" customHeight="1">
      <c r="A444" s="3" t="s">
        <v>988</v>
      </c>
      <c r="B444" s="3" t="s">
        <v>989</v>
      </c>
      <c r="C444" s="3" t="s">
        <v>990</v>
      </c>
      <c r="D444" s="3" t="s">
        <v>30</v>
      </c>
      <c r="E444" s="3" t="s">
        <v>23</v>
      </c>
      <c r="F444" s="25"/>
      <c r="G444" s="3">
        <v>1</v>
      </c>
      <c r="H444" s="3">
        <v>2</v>
      </c>
      <c r="I444" s="3">
        <v>0</v>
      </c>
      <c r="J444" s="3">
        <v>2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18"/>
      <c r="Q444" s="18"/>
      <c r="R444" s="18"/>
      <c r="S444" s="3"/>
      <c r="T444" s="3">
        <v>0</v>
      </c>
      <c r="U444" s="3">
        <v>-1</v>
      </c>
      <c r="V444" s="3">
        <v>475887.6</v>
      </c>
      <c r="W444" s="22"/>
      <c r="Z444" s="27">
        <f t="shared" si="6"/>
        <v>2</v>
      </c>
    </row>
    <row r="445" spans="1:27" ht="23" customHeight="1">
      <c r="A445" s="3" t="s">
        <v>988</v>
      </c>
      <c r="B445" s="3" t="s">
        <v>991</v>
      </c>
      <c r="C445" s="3" t="s">
        <v>992</v>
      </c>
      <c r="D445" s="3" t="s">
        <v>30</v>
      </c>
      <c r="E445" s="3" t="s">
        <v>23</v>
      </c>
      <c r="F445" s="25"/>
      <c r="G445" s="3">
        <v>2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18"/>
      <c r="Q445" s="18"/>
      <c r="R445" s="18"/>
      <c r="S445" s="3">
        <v>2</v>
      </c>
      <c r="T445" s="3">
        <v>0</v>
      </c>
      <c r="U445" s="3">
        <v>-2</v>
      </c>
      <c r="V445" s="3">
        <v>4011129</v>
      </c>
      <c r="W445" s="22"/>
      <c r="Z445" s="27">
        <f t="shared" si="6"/>
        <v>0</v>
      </c>
      <c r="AA445" s="19">
        <v>1</v>
      </c>
    </row>
    <row r="446" spans="1:27" ht="23" customHeight="1">
      <c r="A446" s="3" t="s">
        <v>988</v>
      </c>
      <c r="B446" s="3" t="s">
        <v>993</v>
      </c>
      <c r="C446" s="3" t="s">
        <v>994</v>
      </c>
      <c r="D446" s="3" t="s">
        <v>30</v>
      </c>
      <c r="E446" s="3" t="s">
        <v>23</v>
      </c>
      <c r="F446" s="25"/>
      <c r="G446" s="3">
        <v>2</v>
      </c>
      <c r="H446" s="3">
        <v>3</v>
      </c>
      <c r="I446" s="3">
        <v>0</v>
      </c>
      <c r="J446" s="3">
        <v>3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18"/>
      <c r="Q446" s="18"/>
      <c r="R446" s="18"/>
      <c r="S446" s="3">
        <v>1</v>
      </c>
      <c r="T446" s="3">
        <v>0</v>
      </c>
      <c r="U446" s="3">
        <v>-1</v>
      </c>
      <c r="V446" s="3">
        <v>4800838.9517953331</v>
      </c>
      <c r="W446" s="22"/>
      <c r="Z446" s="27">
        <f t="shared" si="6"/>
        <v>1.5</v>
      </c>
    </row>
    <row r="447" spans="1:27" ht="23" customHeight="1">
      <c r="A447" s="3" t="s">
        <v>988</v>
      </c>
      <c r="B447" s="3" t="s">
        <v>995</v>
      </c>
      <c r="C447" s="3" t="s">
        <v>990</v>
      </c>
      <c r="D447" s="3" t="s">
        <v>30</v>
      </c>
      <c r="E447" s="3" t="s">
        <v>23</v>
      </c>
      <c r="F447" s="25"/>
      <c r="G447" s="3">
        <v>1</v>
      </c>
      <c r="H447" s="3">
        <v>5</v>
      </c>
      <c r="I447" s="3">
        <v>0</v>
      </c>
      <c r="J447" s="3">
        <v>5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18"/>
      <c r="Q447" s="18"/>
      <c r="R447" s="18"/>
      <c r="S447" s="3"/>
      <c r="T447" s="3">
        <v>0</v>
      </c>
      <c r="U447" s="3">
        <v>-1</v>
      </c>
      <c r="V447" s="3">
        <v>521866.71138333331</v>
      </c>
      <c r="W447" s="22"/>
      <c r="Z447" s="27">
        <f t="shared" si="6"/>
        <v>5</v>
      </c>
    </row>
    <row r="448" spans="1:27" ht="23" customHeight="1">
      <c r="A448" s="3" t="s">
        <v>988</v>
      </c>
      <c r="B448" s="3" t="s">
        <v>996</v>
      </c>
      <c r="C448" s="3" t="s">
        <v>990</v>
      </c>
      <c r="D448" s="3" t="s">
        <v>30</v>
      </c>
      <c r="E448" s="3" t="s">
        <v>23</v>
      </c>
      <c r="F448" s="25"/>
      <c r="G448" s="3">
        <v>1</v>
      </c>
      <c r="H448" s="3">
        <v>5</v>
      </c>
      <c r="I448" s="3">
        <v>0</v>
      </c>
      <c r="J448" s="3">
        <v>5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18"/>
      <c r="Q448" s="18"/>
      <c r="R448" s="18"/>
      <c r="S448" s="3"/>
      <c r="T448" s="3">
        <v>0</v>
      </c>
      <c r="U448" s="3">
        <v>-1</v>
      </c>
      <c r="V448" s="3">
        <v>533968.27492937515</v>
      </c>
      <c r="W448" s="22"/>
      <c r="Z448" s="27">
        <f t="shared" si="6"/>
        <v>5</v>
      </c>
    </row>
    <row r="449" spans="1:27" ht="23" customHeight="1">
      <c r="A449" s="3" t="s">
        <v>27</v>
      </c>
      <c r="B449" s="3" t="s">
        <v>997</v>
      </c>
      <c r="C449" s="3" t="s">
        <v>998</v>
      </c>
      <c r="D449" s="3" t="s">
        <v>30</v>
      </c>
      <c r="E449" s="3" t="s">
        <v>145</v>
      </c>
      <c r="F449" s="25"/>
      <c r="G449" s="3">
        <v>30</v>
      </c>
      <c r="H449" s="3">
        <v>31</v>
      </c>
      <c r="I449" s="3">
        <v>0</v>
      </c>
      <c r="J449" s="3">
        <v>30</v>
      </c>
      <c r="K449" s="3">
        <v>0</v>
      </c>
      <c r="L449" s="3">
        <v>0</v>
      </c>
      <c r="M449" s="3">
        <v>0</v>
      </c>
      <c r="N449" s="3">
        <v>0</v>
      </c>
      <c r="O449" s="3">
        <v>1</v>
      </c>
      <c r="P449" s="18"/>
      <c r="Q449" s="18"/>
      <c r="R449" s="18"/>
      <c r="S449" s="3"/>
      <c r="T449" s="3">
        <v>-5</v>
      </c>
      <c r="U449" s="3">
        <v>-103</v>
      </c>
      <c r="V449" s="3">
        <v>13736.091050863981</v>
      </c>
      <c r="W449" s="22"/>
      <c r="Z449" s="27">
        <f t="shared" si="6"/>
        <v>1</v>
      </c>
    </row>
    <row r="450" spans="1:27" ht="23" customHeight="1">
      <c r="A450" s="3" t="s">
        <v>999</v>
      </c>
      <c r="B450" s="3" t="s">
        <v>1000</v>
      </c>
      <c r="C450" s="3" t="s">
        <v>1001</v>
      </c>
      <c r="D450" s="3" t="s">
        <v>30</v>
      </c>
      <c r="E450" s="3" t="s">
        <v>23</v>
      </c>
      <c r="F450" s="25"/>
      <c r="G450" s="3">
        <v>2</v>
      </c>
      <c r="H450" s="3">
        <v>6</v>
      </c>
      <c r="I450" s="3">
        <v>0</v>
      </c>
      <c r="J450" s="3">
        <v>3</v>
      </c>
      <c r="K450" s="3">
        <v>3</v>
      </c>
      <c r="L450" s="3">
        <v>0</v>
      </c>
      <c r="M450" s="3">
        <v>0</v>
      </c>
      <c r="N450" s="3">
        <v>0</v>
      </c>
      <c r="O450" s="3">
        <v>0</v>
      </c>
      <c r="P450" s="18"/>
      <c r="Q450" s="18"/>
      <c r="R450" s="18"/>
      <c r="S450" s="3"/>
      <c r="T450" s="3">
        <v>0</v>
      </c>
      <c r="U450" s="3">
        <v>-2</v>
      </c>
      <c r="V450" s="3">
        <v>82337.808586666681</v>
      </c>
      <c r="W450" s="22"/>
      <c r="Z450" s="27">
        <f t="shared" si="6"/>
        <v>1.5</v>
      </c>
    </row>
    <row r="451" spans="1:27" ht="23" customHeight="1">
      <c r="A451" s="3" t="s">
        <v>452</v>
      </c>
      <c r="B451" s="3" t="s">
        <v>1002</v>
      </c>
      <c r="C451" s="3" t="s">
        <v>969</v>
      </c>
      <c r="D451" s="3" t="s">
        <v>22</v>
      </c>
      <c r="E451" s="3" t="s">
        <v>23</v>
      </c>
      <c r="F451" s="25"/>
      <c r="G451" s="3">
        <v>1</v>
      </c>
      <c r="H451" s="3">
        <v>5</v>
      </c>
      <c r="I451" s="3">
        <v>0</v>
      </c>
      <c r="J451" s="3">
        <v>4</v>
      </c>
      <c r="K451" s="3">
        <v>0</v>
      </c>
      <c r="L451" s="3">
        <v>0</v>
      </c>
      <c r="M451" s="3">
        <v>0</v>
      </c>
      <c r="N451" s="3">
        <v>0</v>
      </c>
      <c r="O451" s="3">
        <v>1</v>
      </c>
      <c r="P451" s="18"/>
      <c r="Q451" s="18"/>
      <c r="R451" s="18"/>
      <c r="S451" s="3"/>
      <c r="T451" s="3">
        <v>0</v>
      </c>
      <c r="U451" s="3">
        <v>-2</v>
      </c>
      <c r="V451" s="3"/>
      <c r="W451" s="22"/>
      <c r="Z451" s="27">
        <f t="shared" si="6"/>
        <v>4</v>
      </c>
    </row>
    <row r="452" spans="1:27" ht="23" customHeight="1">
      <c r="A452" s="3" t="s">
        <v>152</v>
      </c>
      <c r="B452" s="3" t="s">
        <v>1003</v>
      </c>
      <c r="C452" s="3" t="s">
        <v>1004</v>
      </c>
      <c r="D452" s="3" t="s">
        <v>22</v>
      </c>
      <c r="E452" s="3" t="s">
        <v>23</v>
      </c>
      <c r="F452" s="25"/>
      <c r="G452" s="3">
        <v>2</v>
      </c>
      <c r="H452" s="3">
        <v>10</v>
      </c>
      <c r="I452" s="3">
        <v>0</v>
      </c>
      <c r="J452" s="3">
        <v>10</v>
      </c>
      <c r="K452" s="3">
        <v>0</v>
      </c>
      <c r="L452" s="3">
        <v>0</v>
      </c>
      <c r="M452" s="3">
        <v>1</v>
      </c>
      <c r="N452" s="3">
        <v>0</v>
      </c>
      <c r="O452" s="3">
        <v>0</v>
      </c>
      <c r="P452" s="18"/>
      <c r="Q452" s="18"/>
      <c r="R452" s="18"/>
      <c r="S452" s="3"/>
      <c r="T452" s="3">
        <v>0</v>
      </c>
      <c r="U452" s="3">
        <v>-3</v>
      </c>
      <c r="V452" s="3">
        <v>375000</v>
      </c>
      <c r="W452" s="22"/>
      <c r="Z452" s="27">
        <f t="shared" ref="Z452:Z515" si="7">J452/G452</f>
        <v>5</v>
      </c>
    </row>
    <row r="453" spans="1:27" ht="23" customHeight="1">
      <c r="A453" s="3" t="s">
        <v>160</v>
      </c>
      <c r="B453" s="3" t="s">
        <v>1005</v>
      </c>
      <c r="C453" s="3" t="s">
        <v>1006</v>
      </c>
      <c r="D453" s="3" t="s">
        <v>22</v>
      </c>
      <c r="E453" s="3" t="s">
        <v>23</v>
      </c>
      <c r="F453" s="25"/>
      <c r="G453" s="3">
        <v>2</v>
      </c>
      <c r="H453" s="3">
        <v>4</v>
      </c>
      <c r="I453" s="3">
        <v>0</v>
      </c>
      <c r="J453" s="3">
        <v>4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18"/>
      <c r="Q453" s="18"/>
      <c r="R453" s="18"/>
      <c r="S453" s="3"/>
      <c r="T453" s="3"/>
      <c r="U453" s="3"/>
      <c r="V453" s="3"/>
      <c r="W453" s="22"/>
      <c r="Z453" s="27">
        <f t="shared" si="7"/>
        <v>2</v>
      </c>
    </row>
    <row r="454" spans="1:27" ht="23" customHeight="1">
      <c r="A454" s="3" t="s">
        <v>160</v>
      </c>
      <c r="B454" s="3" t="s">
        <v>1007</v>
      </c>
      <c r="C454" s="3" t="s">
        <v>1008</v>
      </c>
      <c r="D454" s="3" t="s">
        <v>22</v>
      </c>
      <c r="E454" s="3" t="s">
        <v>23</v>
      </c>
      <c r="F454" s="25"/>
      <c r="G454" s="3">
        <v>2</v>
      </c>
      <c r="H454" s="3">
        <v>3</v>
      </c>
      <c r="I454" s="3">
        <v>0</v>
      </c>
      <c r="J454" s="3">
        <v>3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18"/>
      <c r="Q454" s="18"/>
      <c r="R454" s="18"/>
      <c r="S454" s="3"/>
      <c r="T454" s="3">
        <v>0</v>
      </c>
      <c r="U454" s="3">
        <v>-5</v>
      </c>
      <c r="V454" s="3">
        <v>1750713.4321000001</v>
      </c>
      <c r="W454" s="22"/>
      <c r="Z454" s="27">
        <f t="shared" si="7"/>
        <v>1.5</v>
      </c>
    </row>
    <row r="455" spans="1:27" ht="34" customHeight="1">
      <c r="A455" s="3" t="s">
        <v>160</v>
      </c>
      <c r="B455" s="3" t="s">
        <v>1009</v>
      </c>
      <c r="C455" s="3" t="s">
        <v>1010</v>
      </c>
      <c r="D455" s="3" t="s">
        <v>22</v>
      </c>
      <c r="E455" s="3" t="s">
        <v>23</v>
      </c>
      <c r="F455" s="25"/>
      <c r="G455" s="3">
        <v>5</v>
      </c>
      <c r="H455" s="3">
        <v>10</v>
      </c>
      <c r="I455" s="3">
        <v>0</v>
      </c>
      <c r="J455" s="3">
        <v>2</v>
      </c>
      <c r="K455" s="3">
        <v>0</v>
      </c>
      <c r="L455" s="3">
        <v>0</v>
      </c>
      <c r="M455" s="3">
        <v>0</v>
      </c>
      <c r="N455" s="3">
        <v>1</v>
      </c>
      <c r="O455" s="3">
        <v>7</v>
      </c>
      <c r="P455" s="18"/>
      <c r="Q455" s="18"/>
      <c r="R455" s="18"/>
      <c r="S455" s="3"/>
      <c r="T455" s="3">
        <v>-5</v>
      </c>
      <c r="U455" s="3">
        <v>-17</v>
      </c>
      <c r="V455" s="3">
        <v>0</v>
      </c>
      <c r="W455" s="22"/>
      <c r="Z455" s="27">
        <f t="shared" si="7"/>
        <v>0.4</v>
      </c>
    </row>
    <row r="456" spans="1:27" ht="34" customHeight="1">
      <c r="A456" s="3" t="s">
        <v>160</v>
      </c>
      <c r="B456" s="3" t="s">
        <v>1011</v>
      </c>
      <c r="C456" s="3" t="s">
        <v>1012</v>
      </c>
      <c r="D456" s="3" t="s">
        <v>22</v>
      </c>
      <c r="E456" s="3" t="s">
        <v>23</v>
      </c>
      <c r="F456" s="25"/>
      <c r="G456" s="3">
        <v>3</v>
      </c>
      <c r="H456" s="3">
        <v>10</v>
      </c>
      <c r="I456" s="3">
        <v>0</v>
      </c>
      <c r="J456" s="3">
        <v>2</v>
      </c>
      <c r="K456" s="3">
        <v>0</v>
      </c>
      <c r="L456" s="3">
        <v>0</v>
      </c>
      <c r="M456" s="3">
        <v>0</v>
      </c>
      <c r="N456" s="3">
        <v>0</v>
      </c>
      <c r="O456" s="3">
        <v>8</v>
      </c>
      <c r="P456" s="18"/>
      <c r="Q456" s="18"/>
      <c r="R456" s="18"/>
      <c r="S456" s="3"/>
      <c r="T456" s="3">
        <v>0</v>
      </c>
      <c r="U456" s="3">
        <v>-13</v>
      </c>
      <c r="V456" s="3">
        <v>649611.91</v>
      </c>
      <c r="W456" s="22"/>
      <c r="Z456" s="27">
        <f t="shared" si="7"/>
        <v>0.66666666666666663</v>
      </c>
    </row>
    <row r="457" spans="1:27" ht="34" customHeight="1">
      <c r="A457" s="3" t="s">
        <v>160</v>
      </c>
      <c r="B457" s="3" t="s">
        <v>1013</v>
      </c>
      <c r="C457" s="3" t="s">
        <v>1012</v>
      </c>
      <c r="D457" s="3" t="s">
        <v>22</v>
      </c>
      <c r="E457" s="3" t="s">
        <v>23</v>
      </c>
      <c r="F457" s="25"/>
      <c r="G457" s="3">
        <v>4</v>
      </c>
      <c r="H457" s="3">
        <v>14</v>
      </c>
      <c r="I457" s="3">
        <v>0</v>
      </c>
      <c r="J457" s="3">
        <v>8</v>
      </c>
      <c r="K457" s="3">
        <v>0</v>
      </c>
      <c r="L457" s="3">
        <v>0</v>
      </c>
      <c r="M457" s="3">
        <v>0</v>
      </c>
      <c r="N457" s="3">
        <v>0</v>
      </c>
      <c r="O457" s="3">
        <v>6</v>
      </c>
      <c r="P457" s="18"/>
      <c r="Q457" s="18"/>
      <c r="R457" s="18"/>
      <c r="S457" s="3">
        <v>1</v>
      </c>
      <c r="T457" s="3">
        <v>-1</v>
      </c>
      <c r="U457" s="3">
        <v>-23</v>
      </c>
      <c r="V457" s="3">
        <v>5126924.6524999999</v>
      </c>
      <c r="W457" s="22"/>
      <c r="Z457" s="27">
        <f t="shared" si="7"/>
        <v>2</v>
      </c>
    </row>
    <row r="458" spans="1:27" ht="23" customHeight="1">
      <c r="A458" s="3" t="s">
        <v>503</v>
      </c>
      <c r="B458" s="3" t="s">
        <v>1014</v>
      </c>
      <c r="C458" s="3" t="s">
        <v>1015</v>
      </c>
      <c r="D458" s="3" t="s">
        <v>22</v>
      </c>
      <c r="E458" s="3" t="s">
        <v>23</v>
      </c>
      <c r="F458" s="25"/>
      <c r="G458" s="3">
        <v>2</v>
      </c>
      <c r="H458" s="3">
        <v>3</v>
      </c>
      <c r="I458" s="3">
        <v>0</v>
      </c>
      <c r="J458" s="3">
        <v>3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18"/>
      <c r="Q458" s="18"/>
      <c r="R458" s="18"/>
      <c r="S458" s="3"/>
      <c r="T458" s="3">
        <v>0</v>
      </c>
      <c r="U458" s="3">
        <v>-1</v>
      </c>
      <c r="V458" s="3">
        <v>165570</v>
      </c>
      <c r="W458" s="22"/>
      <c r="Z458" s="27">
        <f t="shared" si="7"/>
        <v>1.5</v>
      </c>
    </row>
    <row r="459" spans="1:27" ht="34" customHeight="1">
      <c r="A459" s="3" t="s">
        <v>1016</v>
      </c>
      <c r="B459" s="3" t="s">
        <v>1017</v>
      </c>
      <c r="C459" s="3" t="s">
        <v>1018</v>
      </c>
      <c r="D459" s="3" t="s">
        <v>22</v>
      </c>
      <c r="E459" s="3" t="s">
        <v>91</v>
      </c>
      <c r="F459" s="25"/>
      <c r="G459" s="3">
        <v>1</v>
      </c>
      <c r="H459" s="3">
        <v>2</v>
      </c>
      <c r="I459" s="3">
        <v>0</v>
      </c>
      <c r="J459" s="3">
        <v>2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18"/>
      <c r="Q459" s="18"/>
      <c r="R459" s="18"/>
      <c r="S459" s="3"/>
      <c r="T459" s="3">
        <v>0</v>
      </c>
      <c r="U459" s="3">
        <v>-2</v>
      </c>
      <c r="V459" s="3">
        <v>4755542.3999999994</v>
      </c>
      <c r="W459" s="22"/>
      <c r="Z459" s="27">
        <f t="shared" si="7"/>
        <v>2</v>
      </c>
    </row>
    <row r="460" spans="1:27" ht="20" customHeight="1">
      <c r="A460" s="3" t="s">
        <v>478</v>
      </c>
      <c r="B460" s="3" t="s">
        <v>1019</v>
      </c>
      <c r="C460" s="3" t="s">
        <v>634</v>
      </c>
      <c r="D460" s="3" t="s">
        <v>30</v>
      </c>
      <c r="E460" s="3" t="s">
        <v>23</v>
      </c>
      <c r="F460" s="25"/>
      <c r="G460" s="3">
        <v>1</v>
      </c>
      <c r="H460" s="3">
        <v>1</v>
      </c>
      <c r="I460" s="3">
        <v>0</v>
      </c>
      <c r="J460" s="3">
        <v>1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18"/>
      <c r="Q460" s="18"/>
      <c r="R460" s="18"/>
      <c r="S460" s="3"/>
      <c r="T460" s="3"/>
      <c r="U460" s="3"/>
      <c r="V460" s="3">
        <v>0</v>
      </c>
      <c r="W460" s="22"/>
      <c r="Z460" s="27">
        <f t="shared" si="7"/>
        <v>1</v>
      </c>
    </row>
    <row r="461" spans="1:27" ht="20" customHeight="1">
      <c r="A461" s="3" t="s">
        <v>478</v>
      </c>
      <c r="B461" s="3" t="s">
        <v>1020</v>
      </c>
      <c r="C461" s="3" t="s">
        <v>1021</v>
      </c>
      <c r="D461" s="3" t="s">
        <v>30</v>
      </c>
      <c r="E461" s="3" t="s">
        <v>23</v>
      </c>
      <c r="F461" s="25"/>
      <c r="G461" s="3">
        <v>1</v>
      </c>
      <c r="H461" s="3">
        <v>1</v>
      </c>
      <c r="I461" s="3">
        <v>0</v>
      </c>
      <c r="J461" s="3">
        <v>1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18"/>
      <c r="Q461" s="18"/>
      <c r="R461" s="18"/>
      <c r="S461" s="3"/>
      <c r="T461" s="3"/>
      <c r="U461" s="3"/>
      <c r="V461" s="3">
        <v>0</v>
      </c>
      <c r="W461" s="22"/>
      <c r="Z461" s="27">
        <f t="shared" si="7"/>
        <v>1</v>
      </c>
    </row>
    <row r="462" spans="1:27" ht="20" customHeight="1">
      <c r="A462" s="3" t="s">
        <v>911</v>
      </c>
      <c r="B462" s="3" t="s">
        <v>1022</v>
      </c>
      <c r="C462" s="3" t="s">
        <v>1023</v>
      </c>
      <c r="D462" s="3" t="s">
        <v>22</v>
      </c>
      <c r="E462" s="3" t="s">
        <v>23</v>
      </c>
      <c r="F462" s="25"/>
      <c r="G462" s="3">
        <v>10</v>
      </c>
      <c r="H462" s="3">
        <v>10</v>
      </c>
      <c r="I462" s="3">
        <v>0</v>
      </c>
      <c r="J462" s="3">
        <v>10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18"/>
      <c r="Q462" s="18"/>
      <c r="R462" s="18"/>
      <c r="S462" s="3"/>
      <c r="T462" s="3"/>
      <c r="U462" s="3"/>
      <c r="V462" s="3"/>
      <c r="W462" s="22"/>
      <c r="Z462" s="27">
        <f t="shared" si="7"/>
        <v>1</v>
      </c>
    </row>
    <row r="463" spans="1:27" ht="20" customHeight="1">
      <c r="A463" s="3" t="s">
        <v>478</v>
      </c>
      <c r="B463" s="3" t="s">
        <v>1024</v>
      </c>
      <c r="C463" s="3" t="s">
        <v>1025</v>
      </c>
      <c r="D463" s="3" t="s">
        <v>30</v>
      </c>
      <c r="E463" s="3" t="s">
        <v>23</v>
      </c>
      <c r="F463" s="25"/>
      <c r="G463" s="3">
        <v>1</v>
      </c>
      <c r="H463" s="3">
        <v>1</v>
      </c>
      <c r="I463" s="3">
        <v>0</v>
      </c>
      <c r="J463" s="3">
        <v>1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18"/>
      <c r="Q463" s="18"/>
      <c r="R463" s="18"/>
      <c r="S463" s="3"/>
      <c r="T463" s="3"/>
      <c r="U463" s="3"/>
      <c r="V463" s="3">
        <v>0</v>
      </c>
      <c r="W463" s="22"/>
      <c r="Z463" s="27">
        <f t="shared" si="7"/>
        <v>1</v>
      </c>
    </row>
    <row r="464" spans="1:27" ht="20" customHeight="1">
      <c r="A464" s="3" t="s">
        <v>478</v>
      </c>
      <c r="B464" s="3" t="s">
        <v>1026</v>
      </c>
      <c r="C464" s="3" t="s">
        <v>1025</v>
      </c>
      <c r="D464" s="3" t="s">
        <v>30</v>
      </c>
      <c r="E464" s="3" t="s">
        <v>23</v>
      </c>
      <c r="F464" s="25"/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18"/>
      <c r="Q464" s="18"/>
      <c r="R464" s="18"/>
      <c r="S464" s="3">
        <v>1</v>
      </c>
      <c r="T464" s="3">
        <v>0</v>
      </c>
      <c r="U464" s="3">
        <v>-1</v>
      </c>
      <c r="V464" s="3">
        <v>0</v>
      </c>
      <c r="W464" s="22"/>
      <c r="Z464" s="27">
        <f t="shared" si="7"/>
        <v>0</v>
      </c>
      <c r="AA464" s="19">
        <v>1</v>
      </c>
    </row>
    <row r="465" spans="1:26" ht="20" customHeight="1">
      <c r="A465" s="3" t="s">
        <v>999</v>
      </c>
      <c r="B465" s="3" t="s">
        <v>1027</v>
      </c>
      <c r="C465" s="3" t="s">
        <v>1028</v>
      </c>
      <c r="D465" s="3" t="s">
        <v>30</v>
      </c>
      <c r="E465" s="3" t="s">
        <v>23</v>
      </c>
      <c r="F465" s="25"/>
      <c r="G465" s="3">
        <v>2</v>
      </c>
      <c r="H465" s="3">
        <v>9</v>
      </c>
      <c r="I465" s="3">
        <v>0</v>
      </c>
      <c r="J465" s="3">
        <v>8</v>
      </c>
      <c r="K465" s="3">
        <v>0</v>
      </c>
      <c r="L465" s="3">
        <v>0</v>
      </c>
      <c r="M465" s="3">
        <v>0</v>
      </c>
      <c r="N465" s="3">
        <v>1</v>
      </c>
      <c r="O465" s="3">
        <v>0</v>
      </c>
      <c r="P465" s="18"/>
      <c r="Q465" s="18"/>
      <c r="R465" s="18"/>
      <c r="S465" s="3"/>
      <c r="T465" s="3">
        <v>0</v>
      </c>
      <c r="U465" s="3">
        <v>-2</v>
      </c>
      <c r="V465" s="3">
        <v>0</v>
      </c>
      <c r="W465" s="22"/>
      <c r="Z465" s="27">
        <f t="shared" si="7"/>
        <v>4</v>
      </c>
    </row>
    <row r="466" spans="1:26" ht="23" customHeight="1">
      <c r="A466" s="3" t="s">
        <v>405</v>
      </c>
      <c r="B466" s="3" t="s">
        <v>1029</v>
      </c>
      <c r="C466" s="3" t="s">
        <v>1030</v>
      </c>
      <c r="D466" s="3" t="s">
        <v>22</v>
      </c>
      <c r="E466" s="3" t="s">
        <v>91</v>
      </c>
      <c r="F466" s="25"/>
      <c r="G466" s="3">
        <v>1</v>
      </c>
      <c r="H466" s="3">
        <v>4</v>
      </c>
      <c r="I466" s="3">
        <v>0</v>
      </c>
      <c r="J466" s="3">
        <v>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18"/>
      <c r="Q466" s="18"/>
      <c r="R466" s="18"/>
      <c r="S466" s="3"/>
      <c r="T466" s="3"/>
      <c r="U466" s="3"/>
      <c r="V466" s="3">
        <v>1689701.1378000001</v>
      </c>
      <c r="W466" s="22"/>
      <c r="Z466" s="27">
        <f t="shared" si="7"/>
        <v>4</v>
      </c>
    </row>
    <row r="467" spans="1:26" ht="34" customHeight="1">
      <c r="A467" s="3" t="s">
        <v>160</v>
      </c>
      <c r="B467" s="3" t="s">
        <v>1031</v>
      </c>
      <c r="C467" s="3" t="s">
        <v>1032</v>
      </c>
      <c r="D467" s="3" t="s">
        <v>22</v>
      </c>
      <c r="E467" s="3" t="s">
        <v>91</v>
      </c>
      <c r="F467" s="25"/>
      <c r="G467" s="3">
        <v>1</v>
      </c>
      <c r="H467" s="3">
        <v>6</v>
      </c>
      <c r="I467" s="3">
        <v>0</v>
      </c>
      <c r="J467" s="3">
        <v>6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18"/>
      <c r="Q467" s="18"/>
      <c r="R467" s="18"/>
      <c r="S467" s="3"/>
      <c r="T467" s="3">
        <v>0</v>
      </c>
      <c r="U467" s="3">
        <v>-1</v>
      </c>
      <c r="V467" s="3">
        <v>2486396.8005599994</v>
      </c>
      <c r="W467" s="22"/>
      <c r="Z467" s="27">
        <f t="shared" si="7"/>
        <v>6</v>
      </c>
    </row>
    <row r="468" spans="1:26" ht="23" customHeight="1">
      <c r="A468" s="3" t="s">
        <v>160</v>
      </c>
      <c r="B468" s="3" t="s">
        <v>1033</v>
      </c>
      <c r="C468" s="3" t="s">
        <v>691</v>
      </c>
      <c r="D468" s="3" t="s">
        <v>22</v>
      </c>
      <c r="E468" s="3" t="s">
        <v>23</v>
      </c>
      <c r="F468" s="25"/>
      <c r="G468" s="3">
        <v>1</v>
      </c>
      <c r="H468" s="3">
        <v>1</v>
      </c>
      <c r="I468" s="3">
        <v>0</v>
      </c>
      <c r="J468" s="3">
        <v>1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18"/>
      <c r="Q468" s="18"/>
      <c r="R468" s="18"/>
      <c r="S468" s="3"/>
      <c r="T468" s="3"/>
      <c r="U468" s="3"/>
      <c r="V468" s="3">
        <v>0</v>
      </c>
      <c r="W468" s="22"/>
      <c r="Z468" s="27">
        <f t="shared" si="7"/>
        <v>1</v>
      </c>
    </row>
    <row r="469" spans="1:26" ht="20" customHeight="1">
      <c r="A469" s="3" t="s">
        <v>160</v>
      </c>
      <c r="B469" s="3" t="s">
        <v>1034</v>
      </c>
      <c r="C469" s="3" t="s">
        <v>1035</v>
      </c>
      <c r="D469" s="3" t="s">
        <v>22</v>
      </c>
      <c r="E469" s="3" t="s">
        <v>91</v>
      </c>
      <c r="F469" s="25"/>
      <c r="G469" s="3">
        <v>1</v>
      </c>
      <c r="H469" s="3">
        <v>7</v>
      </c>
      <c r="I469" s="3">
        <v>0</v>
      </c>
      <c r="J469" s="3">
        <v>6</v>
      </c>
      <c r="K469" s="3">
        <v>0</v>
      </c>
      <c r="L469" s="3">
        <v>0</v>
      </c>
      <c r="M469" s="3">
        <v>0</v>
      </c>
      <c r="N469" s="3">
        <v>0</v>
      </c>
      <c r="O469" s="3">
        <v>1</v>
      </c>
      <c r="P469" s="18"/>
      <c r="Q469" s="18"/>
      <c r="R469" s="18"/>
      <c r="S469" s="3"/>
      <c r="T469" s="3"/>
      <c r="U469" s="3"/>
      <c r="V469" s="3"/>
      <c r="W469" s="22"/>
      <c r="Z469" s="27">
        <f t="shared" si="7"/>
        <v>6</v>
      </c>
    </row>
    <row r="470" spans="1:26" ht="34" customHeight="1">
      <c r="A470" s="3" t="s">
        <v>160</v>
      </c>
      <c r="B470" s="3" t="s">
        <v>1036</v>
      </c>
      <c r="C470" s="3" t="s">
        <v>1012</v>
      </c>
      <c r="D470" s="3" t="s">
        <v>22</v>
      </c>
      <c r="E470" s="3" t="s">
        <v>91</v>
      </c>
      <c r="F470" s="25"/>
      <c r="G470" s="3">
        <v>1</v>
      </c>
      <c r="H470" s="3">
        <v>4</v>
      </c>
      <c r="I470" s="3">
        <v>0</v>
      </c>
      <c r="J470" s="3">
        <v>3</v>
      </c>
      <c r="K470" s="3">
        <v>0</v>
      </c>
      <c r="L470" s="3">
        <v>0</v>
      </c>
      <c r="M470" s="3">
        <v>0</v>
      </c>
      <c r="N470" s="3">
        <v>0</v>
      </c>
      <c r="O470" s="3">
        <v>1</v>
      </c>
      <c r="P470" s="18"/>
      <c r="Q470" s="18"/>
      <c r="R470" s="18"/>
      <c r="S470" s="3"/>
      <c r="T470" s="3">
        <v>0</v>
      </c>
      <c r="U470" s="3">
        <v>-1</v>
      </c>
      <c r="V470" s="3">
        <v>3310048.1124999998</v>
      </c>
      <c r="W470" s="22"/>
      <c r="Z470" s="27">
        <f t="shared" si="7"/>
        <v>3</v>
      </c>
    </row>
    <row r="471" spans="1:26" ht="23" customHeight="1">
      <c r="A471" s="3" t="s">
        <v>160</v>
      </c>
      <c r="B471" s="3" t="s">
        <v>1037</v>
      </c>
      <c r="C471" s="3" t="s">
        <v>1008</v>
      </c>
      <c r="D471" s="3" t="s">
        <v>22</v>
      </c>
      <c r="E471" s="3" t="s">
        <v>91</v>
      </c>
      <c r="F471" s="25"/>
      <c r="G471" s="3">
        <v>1</v>
      </c>
      <c r="H471" s="3">
        <v>4</v>
      </c>
      <c r="I471" s="3">
        <v>0</v>
      </c>
      <c r="J471" s="3">
        <v>4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18"/>
      <c r="Q471" s="18"/>
      <c r="R471" s="18"/>
      <c r="S471" s="3"/>
      <c r="T471" s="3"/>
      <c r="U471" s="3"/>
      <c r="V471" s="3"/>
      <c r="W471" s="22"/>
      <c r="Z471" s="27">
        <f t="shared" si="7"/>
        <v>4</v>
      </c>
    </row>
    <row r="472" spans="1:26" ht="23" customHeight="1">
      <c r="A472" s="3" t="s">
        <v>160</v>
      </c>
      <c r="B472" s="3" t="s">
        <v>1038</v>
      </c>
      <c r="C472" s="3" t="s">
        <v>1039</v>
      </c>
      <c r="D472" s="3" t="s">
        <v>22</v>
      </c>
      <c r="E472" s="3" t="s">
        <v>91</v>
      </c>
      <c r="F472" s="25"/>
      <c r="G472" s="3">
        <v>2</v>
      </c>
      <c r="H472" s="3">
        <v>15</v>
      </c>
      <c r="I472" s="3">
        <v>0</v>
      </c>
      <c r="J472" s="3">
        <v>15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18"/>
      <c r="Q472" s="18"/>
      <c r="R472" s="18"/>
      <c r="S472" s="3">
        <v>1</v>
      </c>
      <c r="T472" s="3"/>
      <c r="U472" s="3"/>
      <c r="V472" s="3">
        <v>912240.67383679189</v>
      </c>
      <c r="W472" s="22"/>
      <c r="Z472" s="27">
        <f t="shared" si="7"/>
        <v>7.5</v>
      </c>
    </row>
    <row r="473" spans="1:26" ht="23" customHeight="1">
      <c r="A473" s="3" t="s">
        <v>405</v>
      </c>
      <c r="B473" s="3" t="s">
        <v>1040</v>
      </c>
      <c r="C473" s="3" t="s">
        <v>439</v>
      </c>
      <c r="D473" s="3" t="s">
        <v>22</v>
      </c>
      <c r="E473" s="3" t="s">
        <v>91</v>
      </c>
      <c r="F473" s="25"/>
      <c r="G473" s="3">
        <v>2</v>
      </c>
      <c r="H473" s="3">
        <v>6</v>
      </c>
      <c r="I473" s="3">
        <v>0</v>
      </c>
      <c r="J473" s="3">
        <v>4</v>
      </c>
      <c r="K473" s="3">
        <v>0</v>
      </c>
      <c r="L473" s="3">
        <v>0</v>
      </c>
      <c r="M473" s="3">
        <v>0</v>
      </c>
      <c r="N473" s="3">
        <v>0</v>
      </c>
      <c r="O473" s="3">
        <v>2</v>
      </c>
      <c r="P473" s="18"/>
      <c r="Q473" s="18"/>
      <c r="R473" s="18"/>
      <c r="S473" s="3"/>
      <c r="T473" s="3"/>
      <c r="U473" s="3"/>
      <c r="V473" s="3">
        <v>133053.08162403406</v>
      </c>
      <c r="W473" s="22"/>
      <c r="Z473" s="27">
        <f t="shared" si="7"/>
        <v>2</v>
      </c>
    </row>
    <row r="474" spans="1:26" ht="20" customHeight="1">
      <c r="A474" s="3" t="s">
        <v>160</v>
      </c>
      <c r="B474" s="3" t="s">
        <v>1041</v>
      </c>
      <c r="C474" s="3" t="s">
        <v>1042</v>
      </c>
      <c r="D474" s="3" t="s">
        <v>22</v>
      </c>
      <c r="E474" s="3" t="s">
        <v>91</v>
      </c>
      <c r="F474" s="25"/>
      <c r="G474" s="3">
        <v>1</v>
      </c>
      <c r="H474" s="3">
        <v>6</v>
      </c>
      <c r="I474" s="3">
        <v>0</v>
      </c>
      <c r="J474" s="3">
        <v>6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18"/>
      <c r="Q474" s="18"/>
      <c r="R474" s="18"/>
      <c r="S474" s="3"/>
      <c r="T474" s="3"/>
      <c r="U474" s="3"/>
      <c r="V474" s="3">
        <v>1119172.5900000001</v>
      </c>
      <c r="W474" s="22"/>
      <c r="Z474" s="27">
        <f t="shared" si="7"/>
        <v>6</v>
      </c>
    </row>
    <row r="475" spans="1:26" ht="23" customHeight="1">
      <c r="A475" s="3" t="s">
        <v>219</v>
      </c>
      <c r="B475" s="3" t="s">
        <v>1043</v>
      </c>
      <c r="C475" s="3" t="s">
        <v>1044</v>
      </c>
      <c r="D475" s="3" t="s">
        <v>22</v>
      </c>
      <c r="E475" s="3" t="s">
        <v>23</v>
      </c>
      <c r="F475" s="25"/>
      <c r="G475" s="3">
        <v>1</v>
      </c>
      <c r="H475" s="3">
        <v>1</v>
      </c>
      <c r="I475" s="3">
        <v>0</v>
      </c>
      <c r="J475" s="3">
        <v>1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18"/>
      <c r="Q475" s="18"/>
      <c r="R475" s="18"/>
      <c r="S475" s="3"/>
      <c r="T475" s="3"/>
      <c r="U475" s="3"/>
      <c r="V475" s="3">
        <v>1728636.28394</v>
      </c>
      <c r="W475" s="22"/>
      <c r="Z475" s="27">
        <f t="shared" si="7"/>
        <v>1</v>
      </c>
    </row>
    <row r="476" spans="1:26" ht="20" customHeight="1">
      <c r="A476" s="3" t="s">
        <v>1045</v>
      </c>
      <c r="B476" s="3" t="s">
        <v>1046</v>
      </c>
      <c r="C476" s="3" t="s">
        <v>1047</v>
      </c>
      <c r="D476" s="3" t="s">
        <v>22</v>
      </c>
      <c r="E476" s="3" t="s">
        <v>91</v>
      </c>
      <c r="F476" s="25"/>
      <c r="G476" s="3">
        <v>2</v>
      </c>
      <c r="H476" s="3">
        <v>4</v>
      </c>
      <c r="I476" s="3">
        <v>0</v>
      </c>
      <c r="J476" s="3">
        <v>2</v>
      </c>
      <c r="K476" s="3">
        <v>0</v>
      </c>
      <c r="L476" s="3">
        <v>0</v>
      </c>
      <c r="M476" s="3">
        <v>0</v>
      </c>
      <c r="N476" s="3">
        <v>0</v>
      </c>
      <c r="O476" s="3">
        <v>2</v>
      </c>
      <c r="P476" s="18"/>
      <c r="Q476" s="18"/>
      <c r="R476" s="18"/>
      <c r="S476" s="3"/>
      <c r="T476" s="3"/>
      <c r="U476" s="3"/>
      <c r="V476" s="3">
        <v>5220280</v>
      </c>
      <c r="W476" s="22"/>
      <c r="Z476" s="27">
        <f t="shared" si="7"/>
        <v>1</v>
      </c>
    </row>
    <row r="477" spans="1:26" ht="23" customHeight="1">
      <c r="A477" s="3" t="s">
        <v>496</v>
      </c>
      <c r="B477" s="3" t="s">
        <v>1048</v>
      </c>
      <c r="C477" s="3" t="s">
        <v>868</v>
      </c>
      <c r="D477" s="3" t="s">
        <v>22</v>
      </c>
      <c r="E477" s="3" t="s">
        <v>23</v>
      </c>
      <c r="F477" s="25"/>
      <c r="G477" s="3">
        <v>1</v>
      </c>
      <c r="H477" s="3">
        <v>4</v>
      </c>
      <c r="I477" s="3">
        <v>0</v>
      </c>
      <c r="J477" s="3">
        <v>4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18"/>
      <c r="Q477" s="18"/>
      <c r="R477" s="18"/>
      <c r="S477" s="3"/>
      <c r="T477" s="3">
        <v>0</v>
      </c>
      <c r="U477" s="3">
        <v>-2</v>
      </c>
      <c r="V477" s="3">
        <v>373855.777</v>
      </c>
      <c r="W477" s="22"/>
      <c r="Z477" s="27">
        <f t="shared" si="7"/>
        <v>4</v>
      </c>
    </row>
    <row r="478" spans="1:26" ht="23" customHeight="1">
      <c r="A478" s="3" t="s">
        <v>496</v>
      </c>
      <c r="B478" s="3" t="s">
        <v>1049</v>
      </c>
      <c r="C478" s="3" t="s">
        <v>1050</v>
      </c>
      <c r="D478" s="3" t="s">
        <v>22</v>
      </c>
      <c r="E478" s="3" t="s">
        <v>23</v>
      </c>
      <c r="F478" s="25"/>
      <c r="G478" s="3">
        <v>1</v>
      </c>
      <c r="H478" s="3">
        <v>8</v>
      </c>
      <c r="I478" s="3">
        <v>0</v>
      </c>
      <c r="J478" s="3">
        <v>7</v>
      </c>
      <c r="K478" s="3">
        <v>0</v>
      </c>
      <c r="L478" s="3">
        <v>0</v>
      </c>
      <c r="M478" s="3">
        <v>0</v>
      </c>
      <c r="N478" s="3">
        <v>0</v>
      </c>
      <c r="O478" s="3">
        <v>1</v>
      </c>
      <c r="P478" s="18"/>
      <c r="Q478" s="18"/>
      <c r="R478" s="18"/>
      <c r="S478" s="3"/>
      <c r="T478" s="3">
        <v>0</v>
      </c>
      <c r="U478" s="3">
        <v>-3</v>
      </c>
      <c r="V478" s="3">
        <v>603230.43850000005</v>
      </c>
      <c r="W478" s="22"/>
      <c r="Z478" s="27">
        <f t="shared" si="7"/>
        <v>7</v>
      </c>
    </row>
    <row r="479" spans="1:26" ht="20" customHeight="1">
      <c r="A479" s="3" t="s">
        <v>88</v>
      </c>
      <c r="B479" s="3" t="s">
        <v>1051</v>
      </c>
      <c r="C479" s="3" t="s">
        <v>1052</v>
      </c>
      <c r="D479" s="3" t="s">
        <v>22</v>
      </c>
      <c r="E479" s="3" t="s">
        <v>23</v>
      </c>
      <c r="F479" s="25"/>
      <c r="G479" s="3">
        <v>4</v>
      </c>
      <c r="H479" s="3">
        <v>16</v>
      </c>
      <c r="I479" s="3">
        <v>0</v>
      </c>
      <c r="J479" s="3">
        <v>3</v>
      </c>
      <c r="K479" s="3">
        <v>0</v>
      </c>
      <c r="L479" s="3">
        <v>0</v>
      </c>
      <c r="M479" s="3">
        <v>3</v>
      </c>
      <c r="N479" s="3">
        <v>2</v>
      </c>
      <c r="O479" s="3">
        <v>11</v>
      </c>
      <c r="P479" s="18"/>
      <c r="Q479" s="18"/>
      <c r="R479" s="18"/>
      <c r="S479" s="3"/>
      <c r="T479" s="3">
        <v>-1</v>
      </c>
      <c r="U479" s="3">
        <v>-20</v>
      </c>
      <c r="V479" s="3"/>
      <c r="W479" s="22"/>
      <c r="Z479" s="27">
        <f t="shared" si="7"/>
        <v>0.75</v>
      </c>
    </row>
    <row r="480" spans="1:26" ht="34" customHeight="1">
      <c r="A480" s="3" t="s">
        <v>496</v>
      </c>
      <c r="B480" s="3" t="s">
        <v>1053</v>
      </c>
      <c r="C480" s="3" t="s">
        <v>1054</v>
      </c>
      <c r="D480" s="3" t="s">
        <v>22</v>
      </c>
      <c r="E480" s="3" t="s">
        <v>23</v>
      </c>
      <c r="F480" s="25"/>
      <c r="G480" s="3">
        <v>2</v>
      </c>
      <c r="H480" s="3">
        <v>9</v>
      </c>
      <c r="I480" s="3">
        <v>0</v>
      </c>
      <c r="J480" s="3">
        <v>9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18"/>
      <c r="Q480" s="18"/>
      <c r="R480" s="18"/>
      <c r="S480" s="3"/>
      <c r="T480" s="3"/>
      <c r="U480" s="3"/>
      <c r="V480" s="3">
        <v>397196.65138499998</v>
      </c>
      <c r="W480" s="22"/>
      <c r="Z480" s="27">
        <f t="shared" si="7"/>
        <v>4.5</v>
      </c>
    </row>
    <row r="481" spans="1:27" ht="34" customHeight="1">
      <c r="A481" s="3" t="s">
        <v>496</v>
      </c>
      <c r="B481" s="3" t="s">
        <v>1055</v>
      </c>
      <c r="C481" s="3" t="s">
        <v>1056</v>
      </c>
      <c r="D481" s="3" t="s">
        <v>22</v>
      </c>
      <c r="E481" s="3" t="s">
        <v>23</v>
      </c>
      <c r="F481" s="25"/>
      <c r="G481" s="3">
        <v>2</v>
      </c>
      <c r="H481" s="3">
        <v>6</v>
      </c>
      <c r="I481" s="3">
        <v>0</v>
      </c>
      <c r="J481" s="3">
        <v>5</v>
      </c>
      <c r="K481" s="3">
        <v>0</v>
      </c>
      <c r="L481" s="3">
        <v>0</v>
      </c>
      <c r="M481" s="3">
        <v>0</v>
      </c>
      <c r="N481" s="3">
        <v>0</v>
      </c>
      <c r="O481" s="3">
        <v>1</v>
      </c>
      <c r="P481" s="18"/>
      <c r="Q481" s="18"/>
      <c r="R481" s="18"/>
      <c r="S481" s="3"/>
      <c r="T481" s="3">
        <v>-1</v>
      </c>
      <c r="U481" s="3">
        <v>-4</v>
      </c>
      <c r="V481" s="3">
        <v>348683.76997455239</v>
      </c>
      <c r="W481" s="22"/>
      <c r="Z481" s="27">
        <f t="shared" si="7"/>
        <v>2.5</v>
      </c>
    </row>
    <row r="482" spans="1:27" ht="23" customHeight="1">
      <c r="A482" s="3" t="s">
        <v>489</v>
      </c>
      <c r="B482" s="3" t="s">
        <v>1057</v>
      </c>
      <c r="C482" s="3" t="s">
        <v>491</v>
      </c>
      <c r="D482" s="3" t="s">
        <v>30</v>
      </c>
      <c r="E482" s="3" t="s">
        <v>91</v>
      </c>
      <c r="F482" s="25"/>
      <c r="G482" s="3">
        <v>2</v>
      </c>
      <c r="H482" s="3">
        <v>9</v>
      </c>
      <c r="I482" s="3">
        <v>0</v>
      </c>
      <c r="J482" s="3">
        <v>9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18"/>
      <c r="Q482" s="18"/>
      <c r="R482" s="18"/>
      <c r="S482" s="3"/>
      <c r="T482" s="3"/>
      <c r="U482" s="3"/>
      <c r="V482" s="3">
        <v>198243.04970159996</v>
      </c>
      <c r="W482" s="22"/>
      <c r="Z482" s="27">
        <f t="shared" si="7"/>
        <v>4.5</v>
      </c>
    </row>
    <row r="483" spans="1:27" ht="23" customHeight="1">
      <c r="A483" s="3" t="s">
        <v>489</v>
      </c>
      <c r="B483" s="3" t="s">
        <v>1058</v>
      </c>
      <c r="C483" s="3" t="s">
        <v>493</v>
      </c>
      <c r="D483" s="3" t="s">
        <v>30</v>
      </c>
      <c r="E483" s="3" t="s">
        <v>23</v>
      </c>
      <c r="F483" s="25"/>
      <c r="G483" s="3">
        <v>2</v>
      </c>
      <c r="H483" s="3">
        <v>14</v>
      </c>
      <c r="I483" s="3">
        <v>0</v>
      </c>
      <c r="J483" s="3">
        <v>14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18"/>
      <c r="Q483" s="18"/>
      <c r="R483" s="18"/>
      <c r="S483" s="3"/>
      <c r="T483" s="3"/>
      <c r="U483" s="3"/>
      <c r="V483" s="3">
        <v>255667.41292307677</v>
      </c>
      <c r="W483" s="22"/>
      <c r="Z483" s="27">
        <f t="shared" si="7"/>
        <v>7</v>
      </c>
    </row>
    <row r="484" spans="1:27" ht="34" customHeight="1">
      <c r="A484" s="3" t="s">
        <v>72</v>
      </c>
      <c r="B484" s="3" t="s">
        <v>1059</v>
      </c>
      <c r="C484" s="3" t="s">
        <v>1060</v>
      </c>
      <c r="D484" s="3" t="s">
        <v>22</v>
      </c>
      <c r="E484" s="3" t="s">
        <v>23</v>
      </c>
      <c r="F484" s="25"/>
      <c r="G484" s="3">
        <v>1</v>
      </c>
      <c r="H484" s="3">
        <v>2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2</v>
      </c>
      <c r="P484" s="18"/>
      <c r="Q484" s="18"/>
      <c r="R484" s="18"/>
      <c r="S484" s="3">
        <v>2</v>
      </c>
      <c r="T484" s="3">
        <v>0</v>
      </c>
      <c r="U484" s="3">
        <v>-2</v>
      </c>
      <c r="V484" s="3">
        <v>366134.22512800002</v>
      </c>
      <c r="W484" s="22"/>
      <c r="Z484" s="27">
        <f t="shared" si="7"/>
        <v>0</v>
      </c>
      <c r="AA484" s="19">
        <v>1</v>
      </c>
    </row>
    <row r="485" spans="1:27" ht="34" customHeight="1">
      <c r="A485" s="3" t="s">
        <v>523</v>
      </c>
      <c r="B485" s="3" t="s">
        <v>1061</v>
      </c>
      <c r="C485" s="3" t="s">
        <v>1062</v>
      </c>
      <c r="D485" s="3" t="s">
        <v>22</v>
      </c>
      <c r="E485" s="3" t="s">
        <v>23</v>
      </c>
      <c r="F485" s="25"/>
      <c r="G485" s="3">
        <v>2</v>
      </c>
      <c r="H485" s="3">
        <v>4</v>
      </c>
      <c r="I485" s="3">
        <v>0</v>
      </c>
      <c r="J485" s="3">
        <v>4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18"/>
      <c r="Q485" s="18"/>
      <c r="R485" s="18"/>
      <c r="S485" s="3"/>
      <c r="T485" s="3"/>
      <c r="U485" s="3"/>
      <c r="V485" s="3"/>
      <c r="W485" s="22"/>
      <c r="Z485" s="27">
        <f t="shared" si="7"/>
        <v>2</v>
      </c>
    </row>
    <row r="486" spans="1:27" ht="23" customHeight="1">
      <c r="A486" s="3" t="s">
        <v>160</v>
      </c>
      <c r="B486" s="3" t="s">
        <v>1063</v>
      </c>
      <c r="C486" s="3" t="s">
        <v>1030</v>
      </c>
      <c r="D486" s="3" t="s">
        <v>22</v>
      </c>
      <c r="E486" s="3" t="s">
        <v>23</v>
      </c>
      <c r="F486" s="25"/>
      <c r="G486" s="3">
        <v>2</v>
      </c>
      <c r="H486" s="3">
        <v>5</v>
      </c>
      <c r="I486" s="3">
        <v>0</v>
      </c>
      <c r="J486" s="3">
        <v>4</v>
      </c>
      <c r="K486" s="3">
        <v>0</v>
      </c>
      <c r="L486" s="3">
        <v>0</v>
      </c>
      <c r="M486" s="3">
        <v>0</v>
      </c>
      <c r="N486" s="3">
        <v>0</v>
      </c>
      <c r="O486" s="3">
        <v>1</v>
      </c>
      <c r="P486" s="18"/>
      <c r="Q486" s="18"/>
      <c r="R486" s="18"/>
      <c r="S486" s="3"/>
      <c r="T486" s="3">
        <v>0</v>
      </c>
      <c r="U486" s="3">
        <v>-2</v>
      </c>
      <c r="V486" s="3"/>
      <c r="W486" s="22"/>
      <c r="Z486" s="27">
        <f t="shared" si="7"/>
        <v>2</v>
      </c>
    </row>
    <row r="487" spans="1:27" ht="23" customHeight="1">
      <c r="A487" s="3" t="s">
        <v>821</v>
      </c>
      <c r="B487" s="3" t="s">
        <v>1064</v>
      </c>
      <c r="C487" s="3" t="s">
        <v>1065</v>
      </c>
      <c r="D487" s="3" t="s">
        <v>22</v>
      </c>
      <c r="E487" s="3" t="s">
        <v>23</v>
      </c>
      <c r="F487" s="25"/>
      <c r="G487" s="3">
        <v>1</v>
      </c>
      <c r="H487" s="3">
        <v>2</v>
      </c>
      <c r="I487" s="3">
        <v>0</v>
      </c>
      <c r="J487" s="3">
        <v>2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18"/>
      <c r="Q487" s="18"/>
      <c r="R487" s="18"/>
      <c r="S487" s="3"/>
      <c r="T487" s="3"/>
      <c r="U487" s="3"/>
      <c r="V487" s="3">
        <v>2498630</v>
      </c>
      <c r="W487" s="22"/>
      <c r="Z487" s="27">
        <f t="shared" si="7"/>
        <v>2</v>
      </c>
    </row>
    <row r="488" spans="1:27" ht="23" customHeight="1">
      <c r="A488" s="3" t="s">
        <v>1066</v>
      </c>
      <c r="B488" s="3" t="s">
        <v>1067</v>
      </c>
      <c r="C488" s="3" t="s">
        <v>1068</v>
      </c>
      <c r="D488" s="3" t="s">
        <v>22</v>
      </c>
      <c r="E488" s="3" t="s">
        <v>23</v>
      </c>
      <c r="F488" s="25"/>
      <c r="G488" s="3">
        <v>2</v>
      </c>
      <c r="H488" s="3">
        <v>3</v>
      </c>
      <c r="I488" s="3">
        <v>0</v>
      </c>
      <c r="J488" s="3">
        <v>2</v>
      </c>
      <c r="K488" s="3">
        <v>0</v>
      </c>
      <c r="L488" s="3">
        <v>0</v>
      </c>
      <c r="M488" s="3">
        <v>0</v>
      </c>
      <c r="N488" s="3">
        <v>0</v>
      </c>
      <c r="O488" s="3">
        <v>1</v>
      </c>
      <c r="P488" s="18"/>
      <c r="Q488" s="18"/>
      <c r="R488" s="18"/>
      <c r="S488" s="3"/>
      <c r="T488" s="3">
        <v>-1</v>
      </c>
      <c r="U488" s="3">
        <v>-1</v>
      </c>
      <c r="V488" s="3"/>
      <c r="W488" s="22"/>
      <c r="Z488" s="27">
        <f t="shared" si="7"/>
        <v>1</v>
      </c>
    </row>
    <row r="489" spans="1:27" ht="23" customHeight="1">
      <c r="A489" s="3" t="s">
        <v>219</v>
      </c>
      <c r="B489" s="3" t="s">
        <v>1069</v>
      </c>
      <c r="C489" s="3" t="s">
        <v>1070</v>
      </c>
      <c r="D489" s="3" t="s">
        <v>22</v>
      </c>
      <c r="E489" s="3" t="s">
        <v>23</v>
      </c>
      <c r="F489" s="25"/>
      <c r="G489" s="3">
        <v>1</v>
      </c>
      <c r="H489" s="3">
        <v>1</v>
      </c>
      <c r="I489" s="3">
        <v>0</v>
      </c>
      <c r="J489" s="3">
        <v>1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18"/>
      <c r="Q489" s="18"/>
      <c r="R489" s="18"/>
      <c r="S489" s="3"/>
      <c r="T489" s="3"/>
      <c r="U489" s="3"/>
      <c r="V489" s="3"/>
      <c r="W489" s="22"/>
      <c r="Z489" s="27">
        <f t="shared" si="7"/>
        <v>1</v>
      </c>
    </row>
    <row r="490" spans="1:27" ht="23" customHeight="1">
      <c r="A490" s="3" t="s">
        <v>280</v>
      </c>
      <c r="B490" s="3" t="s">
        <v>1071</v>
      </c>
      <c r="C490" s="3" t="s">
        <v>284</v>
      </c>
      <c r="D490" s="3" t="s">
        <v>22</v>
      </c>
      <c r="E490" s="3" t="s">
        <v>23</v>
      </c>
      <c r="F490" s="25"/>
      <c r="G490" s="3">
        <v>1</v>
      </c>
      <c r="H490" s="3">
        <v>7</v>
      </c>
      <c r="I490" s="3">
        <v>0</v>
      </c>
      <c r="J490" s="3">
        <v>6</v>
      </c>
      <c r="K490" s="3">
        <v>0</v>
      </c>
      <c r="L490" s="3">
        <v>0</v>
      </c>
      <c r="M490" s="3">
        <v>0</v>
      </c>
      <c r="N490" s="3">
        <v>1</v>
      </c>
      <c r="O490" s="3">
        <v>0</v>
      </c>
      <c r="P490" s="18"/>
      <c r="Q490" s="18"/>
      <c r="R490" s="18"/>
      <c r="S490" s="3"/>
      <c r="T490" s="3">
        <v>0</v>
      </c>
      <c r="U490" s="3">
        <v>-1</v>
      </c>
      <c r="V490" s="3">
        <v>2868195.44</v>
      </c>
      <c r="W490" s="22"/>
      <c r="Z490" s="27">
        <f t="shared" si="7"/>
        <v>6</v>
      </c>
    </row>
    <row r="491" spans="1:27" ht="23" customHeight="1">
      <c r="A491" s="3" t="s">
        <v>1072</v>
      </c>
      <c r="B491" s="3" t="s">
        <v>1073</v>
      </c>
      <c r="C491" s="3" t="s">
        <v>1074</v>
      </c>
      <c r="D491" s="3" t="s">
        <v>22</v>
      </c>
      <c r="E491" s="3" t="s">
        <v>23</v>
      </c>
      <c r="F491" s="25"/>
      <c r="G491" s="3">
        <v>1</v>
      </c>
      <c r="H491" s="3">
        <v>1</v>
      </c>
      <c r="I491" s="3">
        <v>0</v>
      </c>
      <c r="J491" s="3">
        <v>1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18"/>
      <c r="Q491" s="18"/>
      <c r="R491" s="18"/>
      <c r="S491" s="3"/>
      <c r="T491" s="3"/>
      <c r="U491" s="3"/>
      <c r="V491" s="3"/>
      <c r="W491" s="22"/>
      <c r="Z491" s="27">
        <f t="shared" si="7"/>
        <v>1</v>
      </c>
    </row>
    <row r="492" spans="1:27" ht="23" customHeight="1">
      <c r="A492" s="3" t="s">
        <v>277</v>
      </c>
      <c r="B492" s="3" t="s">
        <v>1075</v>
      </c>
      <c r="C492" s="3" t="s">
        <v>1076</v>
      </c>
      <c r="D492" s="3" t="s">
        <v>22</v>
      </c>
      <c r="E492" s="3" t="s">
        <v>23</v>
      </c>
      <c r="F492" s="25"/>
      <c r="G492" s="3">
        <v>1</v>
      </c>
      <c r="H492" s="3">
        <v>2</v>
      </c>
      <c r="I492" s="3">
        <v>0</v>
      </c>
      <c r="J492" s="3">
        <v>2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18"/>
      <c r="Q492" s="18"/>
      <c r="R492" s="18"/>
      <c r="S492" s="3"/>
      <c r="T492" s="3"/>
      <c r="U492" s="3"/>
      <c r="V492" s="3">
        <v>46500</v>
      </c>
      <c r="W492" s="22"/>
      <c r="Z492" s="27">
        <f t="shared" si="7"/>
        <v>2</v>
      </c>
    </row>
    <row r="493" spans="1:27" ht="23" customHeight="1">
      <c r="A493" s="3" t="s">
        <v>1077</v>
      </c>
      <c r="B493" s="3" t="s">
        <v>1078</v>
      </c>
      <c r="C493" s="3" t="s">
        <v>1079</v>
      </c>
      <c r="D493" s="3" t="s">
        <v>22</v>
      </c>
      <c r="E493" s="3" t="s">
        <v>23</v>
      </c>
      <c r="F493" s="25"/>
      <c r="G493" s="3">
        <v>2</v>
      </c>
      <c r="H493" s="3">
        <v>2</v>
      </c>
      <c r="I493" s="3">
        <v>0</v>
      </c>
      <c r="J493" s="3">
        <v>1</v>
      </c>
      <c r="K493" s="3">
        <v>0</v>
      </c>
      <c r="L493" s="3">
        <v>0</v>
      </c>
      <c r="M493" s="3">
        <v>0</v>
      </c>
      <c r="N493" s="3">
        <v>0</v>
      </c>
      <c r="O493" s="3">
        <v>1</v>
      </c>
      <c r="P493" s="18"/>
      <c r="Q493" s="18"/>
      <c r="R493" s="18"/>
      <c r="S493" s="3">
        <v>2</v>
      </c>
      <c r="T493" s="3">
        <v>0</v>
      </c>
      <c r="U493" s="3">
        <v>-1</v>
      </c>
      <c r="V493" s="3"/>
      <c r="W493" s="22"/>
      <c r="Z493" s="27">
        <f t="shared" si="7"/>
        <v>0.5</v>
      </c>
      <c r="AA493" s="19">
        <v>1</v>
      </c>
    </row>
    <row r="494" spans="1:27" ht="23" customHeight="1">
      <c r="A494" s="3" t="s">
        <v>1080</v>
      </c>
      <c r="B494" s="3" t="s">
        <v>1081</v>
      </c>
      <c r="C494" s="3" t="s">
        <v>1082</v>
      </c>
      <c r="D494" s="3" t="s">
        <v>22</v>
      </c>
      <c r="E494" s="3" t="s">
        <v>23</v>
      </c>
      <c r="F494" s="25"/>
      <c r="G494" s="3">
        <v>4</v>
      </c>
      <c r="H494" s="3">
        <v>17</v>
      </c>
      <c r="I494" s="3">
        <v>0</v>
      </c>
      <c r="J494" s="3">
        <v>16</v>
      </c>
      <c r="K494" s="3">
        <v>0</v>
      </c>
      <c r="L494" s="3">
        <v>0</v>
      </c>
      <c r="M494" s="3">
        <v>0</v>
      </c>
      <c r="N494" s="3">
        <v>0</v>
      </c>
      <c r="O494" s="3">
        <v>1</v>
      </c>
      <c r="P494" s="18"/>
      <c r="Q494" s="18"/>
      <c r="R494" s="18"/>
      <c r="S494" s="3"/>
      <c r="T494" s="3">
        <v>0</v>
      </c>
      <c r="U494" s="3">
        <v>-11</v>
      </c>
      <c r="V494" s="3">
        <v>300000</v>
      </c>
      <c r="W494" s="22"/>
      <c r="Z494" s="27">
        <f t="shared" si="7"/>
        <v>4</v>
      </c>
    </row>
    <row r="495" spans="1:27" ht="23" customHeight="1">
      <c r="A495" s="3" t="s">
        <v>219</v>
      </c>
      <c r="B495" s="3" t="s">
        <v>1083</v>
      </c>
      <c r="C495" s="3" t="s">
        <v>1044</v>
      </c>
      <c r="D495" s="3" t="s">
        <v>22</v>
      </c>
      <c r="E495" s="3" t="s">
        <v>23</v>
      </c>
      <c r="F495" s="25"/>
      <c r="G495" s="3">
        <v>3</v>
      </c>
      <c r="H495" s="3">
        <v>17</v>
      </c>
      <c r="I495" s="3">
        <v>0</v>
      </c>
      <c r="J495" s="3">
        <v>10</v>
      </c>
      <c r="K495" s="3">
        <v>0</v>
      </c>
      <c r="L495" s="3">
        <v>0</v>
      </c>
      <c r="M495" s="3">
        <v>0</v>
      </c>
      <c r="N495" s="3">
        <v>0</v>
      </c>
      <c r="O495" s="3">
        <v>7</v>
      </c>
      <c r="P495" s="18"/>
      <c r="Q495" s="18"/>
      <c r="R495" s="18"/>
      <c r="S495" s="3"/>
      <c r="T495" s="3">
        <v>0</v>
      </c>
      <c r="U495" s="3">
        <v>-9</v>
      </c>
      <c r="V495" s="3">
        <v>958567.64453000005</v>
      </c>
      <c r="W495" s="22"/>
      <c r="Z495" s="27">
        <f t="shared" si="7"/>
        <v>3.3333333333333335</v>
      </c>
    </row>
    <row r="496" spans="1:27" ht="20" customHeight="1">
      <c r="A496" s="3" t="s">
        <v>225</v>
      </c>
      <c r="B496" s="3" t="s">
        <v>1084</v>
      </c>
      <c r="C496" s="3" t="s">
        <v>1085</v>
      </c>
      <c r="D496" s="3" t="s">
        <v>22</v>
      </c>
      <c r="E496" s="3" t="s">
        <v>23</v>
      </c>
      <c r="F496" s="25"/>
      <c r="G496" s="3">
        <v>1</v>
      </c>
      <c r="H496" s="3">
        <v>1</v>
      </c>
      <c r="I496" s="3">
        <v>0</v>
      </c>
      <c r="J496" s="3">
        <v>1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18"/>
      <c r="Q496" s="18"/>
      <c r="R496" s="18"/>
      <c r="S496" s="3"/>
      <c r="T496" s="3"/>
      <c r="U496" s="3"/>
      <c r="V496" s="3"/>
      <c r="W496" s="22"/>
      <c r="Z496" s="27">
        <f t="shared" si="7"/>
        <v>1</v>
      </c>
    </row>
    <row r="497" spans="1:27" ht="23" customHeight="1">
      <c r="A497" s="3" t="s">
        <v>59</v>
      </c>
      <c r="B497" s="3" t="s">
        <v>1086</v>
      </c>
      <c r="C497" s="3" t="s">
        <v>61</v>
      </c>
      <c r="D497" s="3" t="s">
        <v>22</v>
      </c>
      <c r="E497" s="3" t="s">
        <v>23</v>
      </c>
      <c r="F497" s="25"/>
      <c r="G497" s="3">
        <v>2</v>
      </c>
      <c r="H497" s="3">
        <v>6</v>
      </c>
      <c r="I497" s="3">
        <v>0</v>
      </c>
      <c r="J497" s="3">
        <v>3</v>
      </c>
      <c r="K497" s="3">
        <v>0</v>
      </c>
      <c r="L497" s="3">
        <v>0</v>
      </c>
      <c r="M497" s="3">
        <v>0</v>
      </c>
      <c r="N497" s="3">
        <v>0</v>
      </c>
      <c r="O497" s="3">
        <v>3</v>
      </c>
      <c r="P497" s="18"/>
      <c r="Q497" s="18"/>
      <c r="R497" s="18"/>
      <c r="S497" s="3"/>
      <c r="T497" s="3">
        <v>0</v>
      </c>
      <c r="U497" s="3">
        <v>-2</v>
      </c>
      <c r="V497" s="3">
        <v>1075345.7861333333</v>
      </c>
      <c r="W497" s="22"/>
      <c r="Z497" s="27">
        <f t="shared" si="7"/>
        <v>1.5</v>
      </c>
    </row>
    <row r="498" spans="1:27" ht="20" customHeight="1">
      <c r="A498" s="3" t="s">
        <v>1087</v>
      </c>
      <c r="B498" s="3" t="s">
        <v>1088</v>
      </c>
      <c r="C498" s="3" t="s">
        <v>1089</v>
      </c>
      <c r="D498" s="3" t="s">
        <v>22</v>
      </c>
      <c r="E498" s="3" t="s">
        <v>145</v>
      </c>
      <c r="F498" s="25" t="s">
        <v>146</v>
      </c>
      <c r="G498" s="3">
        <v>2</v>
      </c>
      <c r="H498" s="3">
        <v>6</v>
      </c>
      <c r="I498" s="3">
        <v>0</v>
      </c>
      <c r="J498" s="3">
        <v>6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18"/>
      <c r="Q498" s="18"/>
      <c r="R498" s="18"/>
      <c r="S498" s="3"/>
      <c r="T498" s="3"/>
      <c r="U498" s="3"/>
      <c r="V498" s="3">
        <v>1350000</v>
      </c>
      <c r="W498" s="22"/>
      <c r="Z498" s="27">
        <f t="shared" si="7"/>
        <v>3</v>
      </c>
    </row>
    <row r="499" spans="1:27" ht="23" customHeight="1">
      <c r="A499" s="3" t="s">
        <v>213</v>
      </c>
      <c r="B499" s="3" t="s">
        <v>1090</v>
      </c>
      <c r="C499" s="3" t="s">
        <v>1091</v>
      </c>
      <c r="D499" s="3" t="s">
        <v>22</v>
      </c>
      <c r="E499" s="3" t="s">
        <v>23</v>
      </c>
      <c r="F499" s="25"/>
      <c r="G499" s="3">
        <v>3</v>
      </c>
      <c r="H499" s="3">
        <v>12</v>
      </c>
      <c r="I499" s="3">
        <v>0</v>
      </c>
      <c r="J499" s="3">
        <v>7</v>
      </c>
      <c r="K499" s="3">
        <v>0</v>
      </c>
      <c r="L499" s="3">
        <v>0</v>
      </c>
      <c r="M499" s="3">
        <v>0</v>
      </c>
      <c r="N499" s="3">
        <v>2</v>
      </c>
      <c r="O499" s="3">
        <v>3</v>
      </c>
      <c r="P499" s="18"/>
      <c r="Q499" s="18"/>
      <c r="R499" s="18"/>
      <c r="S499" s="3"/>
      <c r="T499" s="3">
        <v>-3</v>
      </c>
      <c r="U499" s="3">
        <v>-25</v>
      </c>
      <c r="V499" s="3">
        <v>1000</v>
      </c>
      <c r="W499" s="22"/>
      <c r="Z499" s="27">
        <f t="shared" si="7"/>
        <v>2.3333333333333335</v>
      </c>
    </row>
    <row r="500" spans="1:27" ht="23" customHeight="1">
      <c r="A500" s="3" t="s">
        <v>213</v>
      </c>
      <c r="B500" s="3" t="s">
        <v>1092</v>
      </c>
      <c r="C500" s="3" t="s">
        <v>1093</v>
      </c>
      <c r="D500" s="3" t="s">
        <v>22</v>
      </c>
      <c r="E500" s="3" t="s">
        <v>23</v>
      </c>
      <c r="F500" s="25"/>
      <c r="G500" s="3">
        <v>3</v>
      </c>
      <c r="H500" s="3">
        <v>14</v>
      </c>
      <c r="I500" s="3">
        <v>0</v>
      </c>
      <c r="J500" s="3">
        <v>9</v>
      </c>
      <c r="K500" s="3">
        <v>0</v>
      </c>
      <c r="L500" s="3">
        <v>0</v>
      </c>
      <c r="M500" s="3">
        <v>0</v>
      </c>
      <c r="N500" s="3">
        <v>2</v>
      </c>
      <c r="O500" s="3">
        <v>3</v>
      </c>
      <c r="P500" s="18"/>
      <c r="Q500" s="18"/>
      <c r="R500" s="18"/>
      <c r="S500" s="3"/>
      <c r="T500" s="3">
        <v>-3</v>
      </c>
      <c r="U500" s="3">
        <v>-25</v>
      </c>
      <c r="V500" s="3">
        <v>1000</v>
      </c>
      <c r="W500" s="22"/>
      <c r="Z500" s="27">
        <f t="shared" si="7"/>
        <v>3</v>
      </c>
    </row>
    <row r="501" spans="1:27" ht="20" customHeight="1">
      <c r="A501" s="3" t="s">
        <v>213</v>
      </c>
      <c r="B501" s="3" t="s">
        <v>1094</v>
      </c>
      <c r="C501" s="3" t="s">
        <v>1095</v>
      </c>
      <c r="D501" s="3" t="s">
        <v>22</v>
      </c>
      <c r="E501" s="3" t="s">
        <v>23</v>
      </c>
      <c r="F501" s="25"/>
      <c r="G501" s="3">
        <v>3</v>
      </c>
      <c r="H501" s="3">
        <v>9</v>
      </c>
      <c r="I501" s="3">
        <v>0</v>
      </c>
      <c r="J501" s="3">
        <v>4</v>
      </c>
      <c r="K501" s="3">
        <v>0</v>
      </c>
      <c r="L501" s="3">
        <v>0</v>
      </c>
      <c r="M501" s="3">
        <v>0</v>
      </c>
      <c r="N501" s="3">
        <v>2</v>
      </c>
      <c r="O501" s="3">
        <v>3</v>
      </c>
      <c r="P501" s="18"/>
      <c r="Q501" s="18"/>
      <c r="R501" s="18"/>
      <c r="S501" s="3"/>
      <c r="T501" s="3">
        <v>-2</v>
      </c>
      <c r="U501" s="3">
        <v>-26</v>
      </c>
      <c r="V501" s="3">
        <v>1000</v>
      </c>
      <c r="W501" s="22"/>
      <c r="Z501" s="27">
        <f t="shared" si="7"/>
        <v>1.3333333333333333</v>
      </c>
    </row>
    <row r="502" spans="1:27" ht="23" customHeight="1">
      <c r="A502" s="3" t="s">
        <v>271</v>
      </c>
      <c r="B502" s="3" t="s">
        <v>1096</v>
      </c>
      <c r="C502" s="3" t="s">
        <v>1097</v>
      </c>
      <c r="D502" s="3" t="s">
        <v>22</v>
      </c>
      <c r="E502" s="3" t="s">
        <v>145</v>
      </c>
      <c r="F502" s="25"/>
      <c r="G502" s="3">
        <v>1</v>
      </c>
      <c r="H502" s="3">
        <v>5</v>
      </c>
      <c r="I502" s="3">
        <v>0</v>
      </c>
      <c r="J502" s="3">
        <v>5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18"/>
      <c r="Q502" s="18"/>
      <c r="R502" s="18"/>
      <c r="S502" s="3"/>
      <c r="T502" s="3"/>
      <c r="U502" s="3"/>
      <c r="V502" s="3">
        <v>354165.53125</v>
      </c>
      <c r="W502" s="22"/>
      <c r="Z502" s="27">
        <f t="shared" si="7"/>
        <v>5</v>
      </c>
    </row>
    <row r="503" spans="1:27" ht="20" customHeight="1">
      <c r="A503" s="3" t="s">
        <v>213</v>
      </c>
      <c r="B503" s="3" t="s">
        <v>1098</v>
      </c>
      <c r="C503" s="3" t="s">
        <v>1099</v>
      </c>
      <c r="D503" s="3" t="s">
        <v>22</v>
      </c>
      <c r="E503" s="3" t="s">
        <v>23</v>
      </c>
      <c r="F503" s="25"/>
      <c r="G503" s="3">
        <v>2</v>
      </c>
      <c r="H503" s="3">
        <v>6</v>
      </c>
      <c r="I503" s="3">
        <v>0</v>
      </c>
      <c r="J503" s="3">
        <v>5</v>
      </c>
      <c r="K503" s="3">
        <v>0</v>
      </c>
      <c r="L503" s="3">
        <v>0</v>
      </c>
      <c r="M503" s="3">
        <v>0</v>
      </c>
      <c r="N503" s="3">
        <v>0</v>
      </c>
      <c r="O503" s="3">
        <v>1</v>
      </c>
      <c r="P503" s="18"/>
      <c r="Q503" s="18"/>
      <c r="R503" s="18"/>
      <c r="S503" s="3"/>
      <c r="T503" s="3">
        <v>0</v>
      </c>
      <c r="U503" s="3">
        <v>-10</v>
      </c>
      <c r="V503" s="3">
        <v>585419.9</v>
      </c>
      <c r="W503" s="22"/>
      <c r="Z503" s="27">
        <f t="shared" si="7"/>
        <v>2.5</v>
      </c>
    </row>
    <row r="504" spans="1:27" ht="20" customHeight="1">
      <c r="A504" s="3" t="s">
        <v>225</v>
      </c>
      <c r="B504" s="3" t="s">
        <v>1100</v>
      </c>
      <c r="C504" s="3" t="s">
        <v>1101</v>
      </c>
      <c r="D504" s="3" t="s">
        <v>22</v>
      </c>
      <c r="E504" s="3" t="s">
        <v>23</v>
      </c>
      <c r="F504" s="25"/>
      <c r="G504" s="3">
        <v>1</v>
      </c>
      <c r="H504" s="3">
        <v>4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1</v>
      </c>
      <c r="O504" s="3">
        <v>2</v>
      </c>
      <c r="P504" s="18"/>
      <c r="Q504" s="18"/>
      <c r="R504" s="18"/>
      <c r="S504" s="3"/>
      <c r="T504" s="3">
        <v>0</v>
      </c>
      <c r="U504" s="3">
        <v>-2</v>
      </c>
      <c r="V504" s="3">
        <v>600000</v>
      </c>
      <c r="W504" s="22"/>
      <c r="Z504" s="27">
        <f t="shared" si="7"/>
        <v>1</v>
      </c>
    </row>
    <row r="505" spans="1:27" ht="23" customHeight="1">
      <c r="A505" s="3" t="s">
        <v>225</v>
      </c>
      <c r="B505" s="3" t="s">
        <v>1102</v>
      </c>
      <c r="C505" s="3" t="s">
        <v>1103</v>
      </c>
      <c r="D505" s="3" t="s">
        <v>22</v>
      </c>
      <c r="E505" s="3" t="s">
        <v>23</v>
      </c>
      <c r="F505" s="25"/>
      <c r="G505" s="3">
        <v>2</v>
      </c>
      <c r="H505" s="3">
        <v>10</v>
      </c>
      <c r="I505" s="3">
        <v>0</v>
      </c>
      <c r="J505" s="3">
        <v>8</v>
      </c>
      <c r="K505" s="3">
        <v>0</v>
      </c>
      <c r="L505" s="3">
        <v>0</v>
      </c>
      <c r="M505" s="3">
        <v>0</v>
      </c>
      <c r="N505" s="3">
        <v>0</v>
      </c>
      <c r="O505" s="3">
        <v>2</v>
      </c>
      <c r="P505" s="18"/>
      <c r="Q505" s="18"/>
      <c r="R505" s="18"/>
      <c r="S505" s="3"/>
      <c r="T505" s="3">
        <v>-1</v>
      </c>
      <c r="U505" s="3">
        <v>-2</v>
      </c>
      <c r="V505" s="3">
        <v>409145.43</v>
      </c>
      <c r="W505" s="22"/>
      <c r="Z505" s="27">
        <f t="shared" si="7"/>
        <v>4</v>
      </c>
    </row>
    <row r="506" spans="1:27" ht="23" customHeight="1">
      <c r="A506" s="3" t="s">
        <v>225</v>
      </c>
      <c r="B506" s="3" t="s">
        <v>1104</v>
      </c>
      <c r="C506" s="3" t="s">
        <v>1070</v>
      </c>
      <c r="D506" s="3" t="s">
        <v>22</v>
      </c>
      <c r="E506" s="3" t="s">
        <v>23</v>
      </c>
      <c r="F506" s="25"/>
      <c r="G506" s="3">
        <v>2</v>
      </c>
      <c r="H506" s="3">
        <v>8</v>
      </c>
      <c r="I506" s="3">
        <v>0</v>
      </c>
      <c r="J506" s="3">
        <v>4</v>
      </c>
      <c r="K506" s="3">
        <v>0</v>
      </c>
      <c r="L506" s="3">
        <v>0</v>
      </c>
      <c r="M506" s="3">
        <v>0</v>
      </c>
      <c r="N506" s="3">
        <v>0</v>
      </c>
      <c r="O506" s="3">
        <v>4</v>
      </c>
      <c r="P506" s="18"/>
      <c r="Q506" s="18"/>
      <c r="R506" s="18"/>
      <c r="S506" s="3"/>
      <c r="T506" s="3">
        <v>0</v>
      </c>
      <c r="U506" s="3">
        <v>-12</v>
      </c>
      <c r="V506" s="3">
        <v>161658.48626666664</v>
      </c>
      <c r="W506" s="22"/>
      <c r="Z506" s="27">
        <f t="shared" si="7"/>
        <v>2</v>
      </c>
    </row>
    <row r="507" spans="1:27" ht="23" customHeight="1">
      <c r="A507" s="3" t="s">
        <v>1105</v>
      </c>
      <c r="B507" s="3" t="s">
        <v>1106</v>
      </c>
      <c r="C507" s="3" t="s">
        <v>1107</v>
      </c>
      <c r="D507" s="3" t="s">
        <v>22</v>
      </c>
      <c r="E507" s="3" t="s">
        <v>23</v>
      </c>
      <c r="F507" s="25"/>
      <c r="G507" s="3">
        <v>1</v>
      </c>
      <c r="H507" s="3">
        <v>3</v>
      </c>
      <c r="I507" s="3">
        <v>0</v>
      </c>
      <c r="J507" s="3">
        <v>3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18"/>
      <c r="Q507" s="18"/>
      <c r="R507" s="18"/>
      <c r="S507" s="3"/>
      <c r="T507" s="3">
        <v>0</v>
      </c>
      <c r="U507" s="3">
        <v>-5</v>
      </c>
      <c r="V507" s="3">
        <v>5916623.25</v>
      </c>
      <c r="W507" s="22"/>
      <c r="Z507" s="27">
        <f t="shared" si="7"/>
        <v>3</v>
      </c>
    </row>
    <row r="508" spans="1:27" ht="23" customHeight="1">
      <c r="A508" s="3" t="s">
        <v>219</v>
      </c>
      <c r="B508" s="3" t="s">
        <v>1108</v>
      </c>
      <c r="C508" s="3" t="s">
        <v>1015</v>
      </c>
      <c r="D508" s="3" t="s">
        <v>22</v>
      </c>
      <c r="E508" s="3" t="s">
        <v>23</v>
      </c>
      <c r="F508" s="25"/>
      <c r="G508" s="3">
        <v>1</v>
      </c>
      <c r="H508" s="3">
        <v>1</v>
      </c>
      <c r="I508" s="3">
        <v>0</v>
      </c>
      <c r="J508" s="3">
        <v>1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18"/>
      <c r="Q508" s="18"/>
      <c r="R508" s="18"/>
      <c r="S508" s="3"/>
      <c r="T508" s="3"/>
      <c r="U508" s="3"/>
      <c r="V508" s="3">
        <v>225000</v>
      </c>
      <c r="W508" s="22"/>
      <c r="Z508" s="27">
        <f t="shared" si="7"/>
        <v>1</v>
      </c>
    </row>
    <row r="509" spans="1:27" ht="23" customHeight="1">
      <c r="A509" s="3" t="s">
        <v>225</v>
      </c>
      <c r="B509" s="3" t="s">
        <v>1109</v>
      </c>
      <c r="C509" s="3" t="s">
        <v>1015</v>
      </c>
      <c r="D509" s="3" t="s">
        <v>22</v>
      </c>
      <c r="E509" s="3" t="s">
        <v>23</v>
      </c>
      <c r="F509" s="25"/>
      <c r="G509" s="3">
        <v>2</v>
      </c>
      <c r="H509" s="3">
        <v>2</v>
      </c>
      <c r="I509" s="3">
        <v>0</v>
      </c>
      <c r="J509" s="3">
        <v>2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18"/>
      <c r="Q509" s="18"/>
      <c r="R509" s="18"/>
      <c r="S509" s="3"/>
      <c r="T509" s="3"/>
      <c r="U509" s="3"/>
      <c r="V509" s="3">
        <v>0</v>
      </c>
      <c r="W509" s="22"/>
      <c r="Z509" s="27">
        <f t="shared" si="7"/>
        <v>1</v>
      </c>
    </row>
    <row r="510" spans="1:27" ht="23" customHeight="1">
      <c r="A510" s="3" t="s">
        <v>1105</v>
      </c>
      <c r="B510" s="3" t="s">
        <v>1110</v>
      </c>
      <c r="C510" s="3" t="s">
        <v>1111</v>
      </c>
      <c r="D510" s="3" t="s">
        <v>22</v>
      </c>
      <c r="E510" s="3" t="s">
        <v>23</v>
      </c>
      <c r="F510" s="25"/>
      <c r="G510" s="3">
        <v>1</v>
      </c>
      <c r="H510" s="3">
        <v>5</v>
      </c>
      <c r="I510" s="3">
        <v>0</v>
      </c>
      <c r="J510" s="3">
        <v>1</v>
      </c>
      <c r="K510" s="3">
        <v>0</v>
      </c>
      <c r="L510" s="3">
        <v>0</v>
      </c>
      <c r="M510" s="3">
        <v>0</v>
      </c>
      <c r="N510" s="3">
        <v>0</v>
      </c>
      <c r="O510" s="3">
        <v>4</v>
      </c>
      <c r="P510" s="18"/>
      <c r="Q510" s="18"/>
      <c r="R510" s="18"/>
      <c r="S510" s="3">
        <v>1</v>
      </c>
      <c r="T510" s="3">
        <v>0</v>
      </c>
      <c r="U510" s="3">
        <v>-6</v>
      </c>
      <c r="V510" s="3">
        <v>10987199.405999999</v>
      </c>
      <c r="W510" s="22"/>
      <c r="Z510" s="27">
        <f t="shared" si="7"/>
        <v>1</v>
      </c>
      <c r="AA510" s="19">
        <v>1</v>
      </c>
    </row>
    <row r="511" spans="1:27" ht="23" customHeight="1">
      <c r="A511" s="3" t="s">
        <v>213</v>
      </c>
      <c r="B511" s="3" t="s">
        <v>1112</v>
      </c>
      <c r="C511" s="3" t="s">
        <v>1015</v>
      </c>
      <c r="D511" s="3" t="s">
        <v>22</v>
      </c>
      <c r="E511" s="3" t="s">
        <v>23</v>
      </c>
      <c r="F511" s="25"/>
      <c r="G511" s="3">
        <v>1</v>
      </c>
      <c r="H511" s="3">
        <v>2</v>
      </c>
      <c r="I511" s="3">
        <v>0</v>
      </c>
      <c r="J511" s="3">
        <v>2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18"/>
      <c r="Q511" s="18"/>
      <c r="R511" s="18"/>
      <c r="S511" s="3"/>
      <c r="T511" s="3">
        <v>0</v>
      </c>
      <c r="U511" s="3">
        <v>-1</v>
      </c>
      <c r="V511" s="3">
        <v>300000</v>
      </c>
      <c r="W511" s="22"/>
      <c r="Z511" s="27">
        <f t="shared" si="7"/>
        <v>2</v>
      </c>
    </row>
    <row r="512" spans="1:27" ht="23" customHeight="1">
      <c r="A512" s="3" t="s">
        <v>1072</v>
      </c>
      <c r="B512" s="3" t="s">
        <v>1113</v>
      </c>
      <c r="C512" s="3" t="s">
        <v>1114</v>
      </c>
      <c r="D512" s="3" t="s">
        <v>22</v>
      </c>
      <c r="E512" s="3" t="s">
        <v>23</v>
      </c>
      <c r="F512" s="25"/>
      <c r="G512" s="3">
        <v>2</v>
      </c>
      <c r="H512" s="3">
        <v>2</v>
      </c>
      <c r="I512" s="3">
        <v>0</v>
      </c>
      <c r="J512" s="3">
        <v>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18"/>
      <c r="Q512" s="18"/>
      <c r="R512" s="18"/>
      <c r="S512" s="3"/>
      <c r="T512" s="3">
        <v>0</v>
      </c>
      <c r="U512" s="3">
        <v>-2</v>
      </c>
      <c r="V512" s="3">
        <v>1260665.4846000001</v>
      </c>
      <c r="W512" s="22"/>
      <c r="Z512" s="27">
        <f t="shared" si="7"/>
        <v>1</v>
      </c>
    </row>
    <row r="513" spans="1:26" ht="34" customHeight="1">
      <c r="A513" s="3" t="s">
        <v>213</v>
      </c>
      <c r="B513" s="3" t="s">
        <v>1115</v>
      </c>
      <c r="C513" s="3" t="s">
        <v>1116</v>
      </c>
      <c r="D513" s="3" t="s">
        <v>30</v>
      </c>
      <c r="E513" s="3" t="s">
        <v>23</v>
      </c>
      <c r="F513" s="25"/>
      <c r="G513" s="3">
        <v>1</v>
      </c>
      <c r="H513" s="3">
        <v>2</v>
      </c>
      <c r="I513" s="3">
        <v>0</v>
      </c>
      <c r="J513" s="3">
        <v>2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18"/>
      <c r="Q513" s="18"/>
      <c r="R513" s="18"/>
      <c r="S513" s="3"/>
      <c r="T513" s="3"/>
      <c r="U513" s="3"/>
      <c r="V513" s="3">
        <v>124161.94</v>
      </c>
      <c r="W513" s="22"/>
      <c r="Z513" s="27">
        <f t="shared" si="7"/>
        <v>2</v>
      </c>
    </row>
    <row r="514" spans="1:26" ht="20" customHeight="1">
      <c r="A514" s="3" t="s">
        <v>213</v>
      </c>
      <c r="B514" s="3" t="s">
        <v>1117</v>
      </c>
      <c r="C514" s="3" t="s">
        <v>221</v>
      </c>
      <c r="D514" s="3" t="s">
        <v>22</v>
      </c>
      <c r="E514" s="3" t="s">
        <v>23</v>
      </c>
      <c r="F514" s="25"/>
      <c r="G514" s="3">
        <v>1</v>
      </c>
      <c r="H514" s="3">
        <v>2</v>
      </c>
      <c r="I514" s="3">
        <v>0</v>
      </c>
      <c r="J514" s="3">
        <v>1</v>
      </c>
      <c r="K514" s="3">
        <v>0</v>
      </c>
      <c r="L514" s="3">
        <v>0</v>
      </c>
      <c r="M514" s="3">
        <v>0</v>
      </c>
      <c r="N514" s="3">
        <v>0</v>
      </c>
      <c r="O514" s="3">
        <v>1</v>
      </c>
      <c r="P514" s="18"/>
      <c r="Q514" s="18"/>
      <c r="R514" s="18"/>
      <c r="S514" s="3"/>
      <c r="T514" s="3"/>
      <c r="U514" s="3"/>
      <c r="V514" s="3"/>
      <c r="W514" s="22"/>
      <c r="Z514" s="27">
        <f t="shared" si="7"/>
        <v>1</v>
      </c>
    </row>
    <row r="515" spans="1:26" ht="23" customHeight="1">
      <c r="A515" s="3" t="s">
        <v>280</v>
      </c>
      <c r="B515" s="3" t="s">
        <v>1118</v>
      </c>
      <c r="C515" s="3" t="s">
        <v>282</v>
      </c>
      <c r="D515" s="3" t="s">
        <v>22</v>
      </c>
      <c r="E515" s="3" t="s">
        <v>23</v>
      </c>
      <c r="F515" s="25"/>
      <c r="G515" s="3">
        <v>1</v>
      </c>
      <c r="H515" s="3">
        <v>2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2</v>
      </c>
      <c r="P515" s="18"/>
      <c r="Q515" s="18"/>
      <c r="R515" s="18"/>
      <c r="S515" s="3"/>
      <c r="T515" s="3">
        <v>0</v>
      </c>
      <c r="U515" s="3">
        <v>-3</v>
      </c>
      <c r="V515" s="3">
        <v>0</v>
      </c>
      <c r="W515" s="22"/>
      <c r="Z515" s="27">
        <f t="shared" si="7"/>
        <v>0</v>
      </c>
    </row>
    <row r="516" spans="1:26" ht="23" customHeight="1">
      <c r="A516" s="3" t="s">
        <v>570</v>
      </c>
      <c r="B516" s="3" t="s">
        <v>1119</v>
      </c>
      <c r="C516" s="3" t="s">
        <v>1120</v>
      </c>
      <c r="D516" s="3" t="s">
        <v>22</v>
      </c>
      <c r="E516" s="3" t="s">
        <v>23</v>
      </c>
      <c r="F516" s="25"/>
      <c r="G516" s="3">
        <v>2</v>
      </c>
      <c r="H516" s="3">
        <v>3</v>
      </c>
      <c r="I516" s="3">
        <v>0</v>
      </c>
      <c r="J516" s="3">
        <v>3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18"/>
      <c r="Q516" s="18"/>
      <c r="R516" s="18"/>
      <c r="S516" s="3"/>
      <c r="T516" s="3">
        <v>0</v>
      </c>
      <c r="U516" s="3">
        <v>-1</v>
      </c>
      <c r="V516" s="3">
        <v>54295.18</v>
      </c>
      <c r="W516" s="22"/>
      <c r="Z516" s="27">
        <f t="shared" ref="Z516:Z579" si="8">J516/G516</f>
        <v>1.5</v>
      </c>
    </row>
    <row r="517" spans="1:26" ht="23" customHeight="1">
      <c r="A517" s="3" t="s">
        <v>570</v>
      </c>
      <c r="B517" s="3" t="s">
        <v>1121</v>
      </c>
      <c r="C517" s="3" t="s">
        <v>1120</v>
      </c>
      <c r="D517" s="3" t="s">
        <v>22</v>
      </c>
      <c r="E517" s="3" t="s">
        <v>23</v>
      </c>
      <c r="F517" s="25"/>
      <c r="G517" s="3">
        <v>4</v>
      </c>
      <c r="H517" s="3">
        <v>9</v>
      </c>
      <c r="I517" s="3">
        <v>0</v>
      </c>
      <c r="J517" s="3">
        <v>6</v>
      </c>
      <c r="K517" s="3">
        <v>0</v>
      </c>
      <c r="L517" s="3">
        <v>0</v>
      </c>
      <c r="M517" s="3">
        <v>0</v>
      </c>
      <c r="N517" s="3">
        <v>2</v>
      </c>
      <c r="O517" s="3">
        <v>1</v>
      </c>
      <c r="P517" s="18"/>
      <c r="Q517" s="18"/>
      <c r="R517" s="18"/>
      <c r="S517" s="3"/>
      <c r="T517" s="3">
        <v>0</v>
      </c>
      <c r="U517" s="3">
        <v>-1</v>
      </c>
      <c r="V517" s="3"/>
      <c r="W517" s="22"/>
      <c r="Z517" s="27">
        <f t="shared" si="8"/>
        <v>1.5</v>
      </c>
    </row>
    <row r="518" spans="1:26" ht="23" customHeight="1">
      <c r="A518" s="3" t="s">
        <v>219</v>
      </c>
      <c r="B518" s="3" t="s">
        <v>1122</v>
      </c>
      <c r="C518" s="3" t="s">
        <v>1015</v>
      </c>
      <c r="D518" s="3" t="s">
        <v>22</v>
      </c>
      <c r="E518" s="3" t="s">
        <v>23</v>
      </c>
      <c r="F518" s="25"/>
      <c r="G518" s="3">
        <v>1</v>
      </c>
      <c r="H518" s="3">
        <v>3</v>
      </c>
      <c r="I518" s="3">
        <v>0</v>
      </c>
      <c r="J518" s="3">
        <v>3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18"/>
      <c r="Q518" s="18"/>
      <c r="R518" s="18"/>
      <c r="S518" s="3"/>
      <c r="T518" s="3"/>
      <c r="U518" s="3"/>
      <c r="V518" s="3">
        <v>138000</v>
      </c>
      <c r="W518" s="22"/>
      <c r="Z518" s="27">
        <f t="shared" si="8"/>
        <v>3</v>
      </c>
    </row>
    <row r="519" spans="1:26" ht="23" customHeight="1">
      <c r="A519" s="3" t="s">
        <v>219</v>
      </c>
      <c r="B519" s="3" t="s">
        <v>1123</v>
      </c>
      <c r="C519" s="3" t="s">
        <v>1124</v>
      </c>
      <c r="D519" s="3" t="s">
        <v>22</v>
      </c>
      <c r="E519" s="3" t="s">
        <v>23</v>
      </c>
      <c r="F519" s="25"/>
      <c r="G519" s="3">
        <v>2</v>
      </c>
      <c r="H519" s="3">
        <v>2</v>
      </c>
      <c r="I519" s="3">
        <v>0</v>
      </c>
      <c r="J519" s="3">
        <v>2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18"/>
      <c r="Q519" s="18"/>
      <c r="R519" s="18"/>
      <c r="S519" s="3"/>
      <c r="T519" s="3"/>
      <c r="U519" s="3"/>
      <c r="V519" s="3">
        <v>1200000</v>
      </c>
      <c r="W519" s="22"/>
      <c r="Z519" s="27">
        <f t="shared" si="8"/>
        <v>1</v>
      </c>
    </row>
    <row r="520" spans="1:26" ht="23" customHeight="1">
      <c r="A520" s="3" t="s">
        <v>1125</v>
      </c>
      <c r="B520" s="3" t="s">
        <v>1126</v>
      </c>
      <c r="C520" s="3" t="s">
        <v>731</v>
      </c>
      <c r="D520" s="3" t="s">
        <v>22</v>
      </c>
      <c r="E520" s="3" t="s">
        <v>23</v>
      </c>
      <c r="F520" s="25"/>
      <c r="G520" s="3">
        <v>1</v>
      </c>
      <c r="H520" s="3">
        <v>6</v>
      </c>
      <c r="I520" s="3">
        <v>0</v>
      </c>
      <c r="J520" s="3">
        <v>1</v>
      </c>
      <c r="K520" s="3">
        <v>0</v>
      </c>
      <c r="L520" s="3">
        <v>0</v>
      </c>
      <c r="M520" s="3">
        <v>0</v>
      </c>
      <c r="N520" s="3">
        <v>0</v>
      </c>
      <c r="O520" s="3">
        <v>5</v>
      </c>
      <c r="P520" s="18"/>
      <c r="Q520" s="18"/>
      <c r="R520" s="18"/>
      <c r="S520" s="3"/>
      <c r="T520" s="3">
        <v>0</v>
      </c>
      <c r="U520" s="3">
        <v>-1</v>
      </c>
      <c r="V520" s="3">
        <v>2601050</v>
      </c>
      <c r="W520" s="22"/>
      <c r="Z520" s="27">
        <f t="shared" si="8"/>
        <v>1</v>
      </c>
    </row>
    <row r="521" spans="1:26" ht="23" customHeight="1">
      <c r="A521" s="3" t="s">
        <v>39</v>
      </c>
      <c r="B521" s="3" t="s">
        <v>1127</v>
      </c>
      <c r="C521" s="3" t="s">
        <v>41</v>
      </c>
      <c r="D521" s="3" t="s">
        <v>22</v>
      </c>
      <c r="E521" s="3" t="s">
        <v>23</v>
      </c>
      <c r="F521" s="25"/>
      <c r="G521" s="3">
        <v>1</v>
      </c>
      <c r="H521" s="3">
        <v>7</v>
      </c>
      <c r="I521" s="3">
        <v>0</v>
      </c>
      <c r="J521" s="3">
        <v>5</v>
      </c>
      <c r="K521" s="3">
        <v>0</v>
      </c>
      <c r="L521" s="3">
        <v>0</v>
      </c>
      <c r="M521" s="3">
        <v>0</v>
      </c>
      <c r="N521" s="3">
        <v>0</v>
      </c>
      <c r="O521" s="3">
        <v>2</v>
      </c>
      <c r="P521" s="18"/>
      <c r="Q521" s="18"/>
      <c r="R521" s="18"/>
      <c r="S521" s="3"/>
      <c r="T521" s="3">
        <v>-1</v>
      </c>
      <c r="U521" s="3">
        <v>-3</v>
      </c>
      <c r="V521" s="3">
        <v>340337.9</v>
      </c>
      <c r="W521" s="22"/>
      <c r="Z521" s="27">
        <f t="shared" si="8"/>
        <v>5</v>
      </c>
    </row>
    <row r="522" spans="1:26" ht="20" customHeight="1">
      <c r="A522" s="3" t="s">
        <v>323</v>
      </c>
      <c r="B522" s="3" t="s">
        <v>1128</v>
      </c>
      <c r="C522" s="3" t="s">
        <v>1129</v>
      </c>
      <c r="D522" s="3" t="s">
        <v>30</v>
      </c>
      <c r="E522" s="3" t="s">
        <v>23</v>
      </c>
      <c r="F522" s="25"/>
      <c r="G522" s="3">
        <v>1</v>
      </c>
      <c r="H522" s="3">
        <v>2</v>
      </c>
      <c r="I522" s="3">
        <v>0</v>
      </c>
      <c r="J522" s="3">
        <v>2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18"/>
      <c r="Q522" s="18"/>
      <c r="R522" s="18"/>
      <c r="S522" s="3"/>
      <c r="T522" s="3"/>
      <c r="U522" s="3"/>
      <c r="V522" s="3">
        <v>5681380.415</v>
      </c>
      <c r="W522" s="22"/>
      <c r="Z522" s="27">
        <f t="shared" si="8"/>
        <v>2</v>
      </c>
    </row>
    <row r="523" spans="1:26" ht="20" customHeight="1">
      <c r="A523" s="3" t="s">
        <v>127</v>
      </c>
      <c r="B523" s="3" t="s">
        <v>1130</v>
      </c>
      <c r="C523" s="3" t="s">
        <v>1131</v>
      </c>
      <c r="D523" s="3" t="s">
        <v>22</v>
      </c>
      <c r="E523" s="3" t="s">
        <v>23</v>
      </c>
      <c r="F523" s="25"/>
      <c r="G523" s="3">
        <v>1</v>
      </c>
      <c r="H523" s="3">
        <v>2</v>
      </c>
      <c r="I523" s="3">
        <v>0</v>
      </c>
      <c r="J523" s="3">
        <v>2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18"/>
      <c r="Q523" s="18"/>
      <c r="R523" s="18"/>
      <c r="S523" s="3"/>
      <c r="T523" s="3">
        <v>0</v>
      </c>
      <c r="U523" s="3">
        <v>-1</v>
      </c>
      <c r="V523" s="3">
        <v>86919.72</v>
      </c>
      <c r="W523" s="22"/>
      <c r="Z523" s="27">
        <f t="shared" si="8"/>
        <v>2</v>
      </c>
    </row>
    <row r="524" spans="1:26" ht="20" customHeight="1">
      <c r="A524" s="3" t="s">
        <v>1132</v>
      </c>
      <c r="B524" s="3" t="s">
        <v>1133</v>
      </c>
      <c r="C524" s="3" t="s">
        <v>1134</v>
      </c>
      <c r="D524" s="3" t="s">
        <v>22</v>
      </c>
      <c r="E524" s="3" t="s">
        <v>23</v>
      </c>
      <c r="F524" s="25"/>
      <c r="G524" s="3">
        <v>1</v>
      </c>
      <c r="H524" s="3">
        <v>1</v>
      </c>
      <c r="I524" s="3">
        <v>0</v>
      </c>
      <c r="J524" s="3">
        <v>1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18"/>
      <c r="Q524" s="18"/>
      <c r="R524" s="18"/>
      <c r="S524" s="3"/>
      <c r="T524" s="3">
        <v>0</v>
      </c>
      <c r="U524" s="3">
        <v>-2</v>
      </c>
      <c r="V524" s="3"/>
      <c r="W524" s="22"/>
      <c r="Z524" s="27">
        <f t="shared" si="8"/>
        <v>1</v>
      </c>
    </row>
    <row r="525" spans="1:26" ht="23" customHeight="1">
      <c r="A525" s="3" t="s">
        <v>954</v>
      </c>
      <c r="B525" s="3" t="s">
        <v>1135</v>
      </c>
      <c r="C525" s="3" t="s">
        <v>1136</v>
      </c>
      <c r="D525" s="3" t="s">
        <v>22</v>
      </c>
      <c r="E525" s="3" t="s">
        <v>145</v>
      </c>
      <c r="F525" s="25"/>
      <c r="G525" s="3">
        <v>1</v>
      </c>
      <c r="H525" s="3">
        <v>1</v>
      </c>
      <c r="I525" s="3">
        <v>0</v>
      </c>
      <c r="J525" s="3">
        <v>1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18"/>
      <c r="Q525" s="18"/>
      <c r="R525" s="18"/>
      <c r="S525" s="3"/>
      <c r="T525" s="3"/>
      <c r="U525" s="3"/>
      <c r="V525" s="3"/>
      <c r="W525" s="22"/>
      <c r="Z525" s="27">
        <f t="shared" si="8"/>
        <v>1</v>
      </c>
    </row>
    <row r="526" spans="1:26" ht="23" customHeight="1">
      <c r="A526" s="3" t="s">
        <v>230</v>
      </c>
      <c r="B526" s="3" t="s">
        <v>1137</v>
      </c>
      <c r="C526" s="3" t="s">
        <v>1138</v>
      </c>
      <c r="D526" s="3" t="s">
        <v>22</v>
      </c>
      <c r="E526" s="3" t="s">
        <v>23</v>
      </c>
      <c r="F526" s="25"/>
      <c r="G526" s="3">
        <v>3</v>
      </c>
      <c r="H526" s="3">
        <v>7</v>
      </c>
      <c r="I526" s="3">
        <v>0</v>
      </c>
      <c r="J526" s="3">
        <v>6</v>
      </c>
      <c r="K526" s="3">
        <v>0</v>
      </c>
      <c r="L526" s="3">
        <v>0</v>
      </c>
      <c r="M526" s="3">
        <v>0</v>
      </c>
      <c r="N526" s="3">
        <v>0</v>
      </c>
      <c r="O526" s="3">
        <v>1</v>
      </c>
      <c r="P526" s="18"/>
      <c r="Q526" s="18"/>
      <c r="R526" s="18"/>
      <c r="S526" s="3"/>
      <c r="T526" s="3">
        <v>0</v>
      </c>
      <c r="U526" s="3">
        <v>-4</v>
      </c>
      <c r="V526" s="3">
        <v>206304.30853333336</v>
      </c>
      <c r="W526" s="22"/>
      <c r="Z526" s="27">
        <f t="shared" si="8"/>
        <v>2</v>
      </c>
    </row>
    <row r="527" spans="1:26" ht="23" customHeight="1">
      <c r="A527" s="3" t="s">
        <v>1139</v>
      </c>
      <c r="B527" s="3" t="s">
        <v>1140</v>
      </c>
      <c r="C527" s="3" t="s">
        <v>1141</v>
      </c>
      <c r="D527" s="3" t="s">
        <v>22</v>
      </c>
      <c r="E527" s="3" t="s">
        <v>23</v>
      </c>
      <c r="F527" s="25"/>
      <c r="G527" s="3">
        <v>2</v>
      </c>
      <c r="H527" s="3">
        <v>7</v>
      </c>
      <c r="I527" s="3">
        <v>0</v>
      </c>
      <c r="J527" s="3">
        <v>6</v>
      </c>
      <c r="K527" s="3">
        <v>0</v>
      </c>
      <c r="L527" s="3">
        <v>0</v>
      </c>
      <c r="M527" s="3">
        <v>0</v>
      </c>
      <c r="N527" s="3">
        <v>0</v>
      </c>
      <c r="O527" s="3">
        <v>1</v>
      </c>
      <c r="P527" s="18"/>
      <c r="Q527" s="18"/>
      <c r="R527" s="18"/>
      <c r="S527" s="3"/>
      <c r="T527" s="3">
        <v>-1</v>
      </c>
      <c r="U527" s="3">
        <v>-3</v>
      </c>
      <c r="V527" s="3"/>
      <c r="W527" s="22"/>
      <c r="Z527" s="27">
        <f t="shared" si="8"/>
        <v>3</v>
      </c>
    </row>
    <row r="528" spans="1:26" ht="23" customHeight="1">
      <c r="A528" s="3" t="s">
        <v>1142</v>
      </c>
      <c r="B528" s="3" t="s">
        <v>1143</v>
      </c>
      <c r="C528" s="3" t="s">
        <v>1144</v>
      </c>
      <c r="D528" s="3" t="s">
        <v>22</v>
      </c>
      <c r="E528" s="3" t="s">
        <v>23</v>
      </c>
      <c r="F528" s="25"/>
      <c r="G528" s="3">
        <v>6</v>
      </c>
      <c r="H528" s="3">
        <v>26</v>
      </c>
      <c r="I528" s="3">
        <v>0</v>
      </c>
      <c r="J528" s="3">
        <v>23</v>
      </c>
      <c r="K528" s="3">
        <v>0</v>
      </c>
      <c r="L528" s="3">
        <v>0</v>
      </c>
      <c r="M528" s="3">
        <v>0</v>
      </c>
      <c r="N528" s="3">
        <v>0</v>
      </c>
      <c r="O528" s="3">
        <v>3</v>
      </c>
      <c r="P528" s="18"/>
      <c r="Q528" s="18"/>
      <c r="R528" s="18"/>
      <c r="S528" s="3"/>
      <c r="T528" s="3">
        <v>-2</v>
      </c>
      <c r="U528" s="3">
        <v>-4</v>
      </c>
      <c r="V528" s="3">
        <v>0</v>
      </c>
      <c r="W528" s="22"/>
      <c r="Z528" s="27">
        <f t="shared" si="8"/>
        <v>3.8333333333333335</v>
      </c>
    </row>
    <row r="529" spans="1:26" ht="34" customHeight="1">
      <c r="A529" s="3" t="s">
        <v>152</v>
      </c>
      <c r="B529" s="3" t="s">
        <v>1145</v>
      </c>
      <c r="C529" s="3" t="s">
        <v>1146</v>
      </c>
      <c r="D529" s="3" t="s">
        <v>22</v>
      </c>
      <c r="E529" s="3" t="s">
        <v>23</v>
      </c>
      <c r="F529" s="25"/>
      <c r="G529" s="3">
        <v>1</v>
      </c>
      <c r="H529" s="3">
        <v>5</v>
      </c>
      <c r="I529" s="3">
        <v>0</v>
      </c>
      <c r="J529" s="3">
        <v>5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18"/>
      <c r="Q529" s="18"/>
      <c r="R529" s="18"/>
      <c r="S529" s="3"/>
      <c r="T529" s="3"/>
      <c r="U529" s="3"/>
      <c r="V529" s="3">
        <v>2943992</v>
      </c>
      <c r="W529" s="22"/>
      <c r="Z529" s="27">
        <f t="shared" si="8"/>
        <v>5</v>
      </c>
    </row>
    <row r="530" spans="1:26" ht="34" customHeight="1">
      <c r="A530" s="3" t="s">
        <v>191</v>
      </c>
      <c r="B530" s="3" t="s">
        <v>1147</v>
      </c>
      <c r="C530" s="3" t="s">
        <v>193</v>
      </c>
      <c r="D530" s="3" t="s">
        <v>22</v>
      </c>
      <c r="E530" s="3" t="s">
        <v>145</v>
      </c>
      <c r="F530" s="25"/>
      <c r="G530" s="3">
        <v>1</v>
      </c>
      <c r="H530" s="3">
        <v>44</v>
      </c>
      <c r="I530" s="3">
        <v>0</v>
      </c>
      <c r="J530" s="3">
        <v>44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18"/>
      <c r="Q530" s="18"/>
      <c r="R530" s="18"/>
      <c r="S530" s="3"/>
      <c r="T530" s="3">
        <v>0</v>
      </c>
      <c r="U530" s="3">
        <v>-3</v>
      </c>
      <c r="V530" s="3">
        <v>300269.22205800575</v>
      </c>
      <c r="W530" s="22"/>
      <c r="Z530" s="27">
        <f t="shared" si="8"/>
        <v>44</v>
      </c>
    </row>
    <row r="531" spans="1:26" ht="23" customHeight="1">
      <c r="A531" s="3" t="s">
        <v>853</v>
      </c>
      <c r="B531" s="3" t="s">
        <v>1148</v>
      </c>
      <c r="C531" s="3" t="s">
        <v>1149</v>
      </c>
      <c r="D531" s="3" t="s">
        <v>22</v>
      </c>
      <c r="E531" s="3" t="s">
        <v>23</v>
      </c>
      <c r="F531" s="25"/>
      <c r="G531" s="3">
        <v>6</v>
      </c>
      <c r="H531" s="3">
        <v>56</v>
      </c>
      <c r="I531" s="3">
        <v>0</v>
      </c>
      <c r="J531" s="3">
        <v>8</v>
      </c>
      <c r="K531" s="3">
        <v>1</v>
      </c>
      <c r="L531" s="3">
        <v>0</v>
      </c>
      <c r="M531" s="3">
        <v>1</v>
      </c>
      <c r="N531" s="3">
        <v>9</v>
      </c>
      <c r="O531" s="3">
        <v>38</v>
      </c>
      <c r="P531" s="18"/>
      <c r="Q531" s="18"/>
      <c r="R531" s="18"/>
      <c r="S531" s="3">
        <v>1</v>
      </c>
      <c r="T531" s="3">
        <v>-2</v>
      </c>
      <c r="U531" s="3">
        <v>-27</v>
      </c>
      <c r="V531" s="3">
        <v>15676356.374266665</v>
      </c>
      <c r="W531" s="22"/>
      <c r="Z531" s="27">
        <f t="shared" si="8"/>
        <v>1.3333333333333333</v>
      </c>
    </row>
    <row r="532" spans="1:26" ht="20" customHeight="1">
      <c r="A532" s="3" t="s">
        <v>853</v>
      </c>
      <c r="B532" s="3" t="s">
        <v>1150</v>
      </c>
      <c r="C532" s="3" t="s">
        <v>1151</v>
      </c>
      <c r="D532" s="3" t="s">
        <v>22</v>
      </c>
      <c r="E532" s="3" t="s">
        <v>23</v>
      </c>
      <c r="F532" s="25"/>
      <c r="G532" s="3">
        <v>1</v>
      </c>
      <c r="H532" s="3">
        <v>3</v>
      </c>
      <c r="I532" s="3">
        <v>0</v>
      </c>
      <c r="J532" s="3">
        <v>2</v>
      </c>
      <c r="K532" s="3">
        <v>0</v>
      </c>
      <c r="L532" s="3">
        <v>0</v>
      </c>
      <c r="M532" s="3">
        <v>0</v>
      </c>
      <c r="N532" s="3">
        <v>1</v>
      </c>
      <c r="O532" s="3">
        <v>0</v>
      </c>
      <c r="P532" s="18"/>
      <c r="Q532" s="18"/>
      <c r="R532" s="18"/>
      <c r="S532" s="3"/>
      <c r="T532" s="3"/>
      <c r="U532" s="3"/>
      <c r="V532" s="3"/>
      <c r="W532" s="22"/>
      <c r="Z532" s="27">
        <f t="shared" si="8"/>
        <v>2</v>
      </c>
    </row>
    <row r="533" spans="1:26" ht="23" customHeight="1">
      <c r="A533" s="3" t="s">
        <v>1152</v>
      </c>
      <c r="B533" s="3" t="s">
        <v>1153</v>
      </c>
      <c r="C533" s="3" t="s">
        <v>1154</v>
      </c>
      <c r="D533" s="3" t="s">
        <v>22</v>
      </c>
      <c r="E533" s="3" t="s">
        <v>23</v>
      </c>
      <c r="F533" s="25"/>
      <c r="G533" s="3">
        <v>1</v>
      </c>
      <c r="H533" s="3">
        <v>5</v>
      </c>
      <c r="I533" s="3">
        <v>0</v>
      </c>
      <c r="J533" s="3">
        <v>4</v>
      </c>
      <c r="K533" s="3">
        <v>0</v>
      </c>
      <c r="L533" s="3">
        <v>0</v>
      </c>
      <c r="M533" s="3">
        <v>0</v>
      </c>
      <c r="N533" s="3">
        <v>0</v>
      </c>
      <c r="O533" s="3">
        <v>1</v>
      </c>
      <c r="P533" s="18"/>
      <c r="Q533" s="18"/>
      <c r="R533" s="18"/>
      <c r="S533" s="3"/>
      <c r="T533" s="3">
        <v>0</v>
      </c>
      <c r="U533" s="3">
        <v>-2</v>
      </c>
      <c r="V533" s="3"/>
      <c r="W533" s="22"/>
      <c r="Z533" s="27">
        <f t="shared" si="8"/>
        <v>4</v>
      </c>
    </row>
    <row r="534" spans="1:26" ht="23" customHeight="1">
      <c r="A534" s="3" t="s">
        <v>1152</v>
      </c>
      <c r="B534" s="3" t="s">
        <v>1155</v>
      </c>
      <c r="C534" s="3" t="s">
        <v>1154</v>
      </c>
      <c r="D534" s="3" t="s">
        <v>22</v>
      </c>
      <c r="E534" s="3" t="s">
        <v>23</v>
      </c>
      <c r="F534" s="25"/>
      <c r="G534" s="3">
        <v>1</v>
      </c>
      <c r="H534" s="3">
        <v>3</v>
      </c>
      <c r="I534" s="3">
        <v>0</v>
      </c>
      <c r="J534" s="3">
        <v>3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18"/>
      <c r="Q534" s="18"/>
      <c r="R534" s="18"/>
      <c r="S534" s="3"/>
      <c r="T534" s="3"/>
      <c r="U534" s="3"/>
      <c r="V534" s="3">
        <v>0</v>
      </c>
      <c r="W534" s="22"/>
      <c r="Z534" s="27">
        <f t="shared" si="8"/>
        <v>3</v>
      </c>
    </row>
    <row r="535" spans="1:26" ht="20" customHeight="1">
      <c r="A535" s="3" t="s">
        <v>51</v>
      </c>
      <c r="B535" s="3" t="s">
        <v>1156</v>
      </c>
      <c r="C535" s="3" t="s">
        <v>53</v>
      </c>
      <c r="D535" s="3" t="s">
        <v>22</v>
      </c>
      <c r="E535" s="3" t="s">
        <v>23</v>
      </c>
      <c r="F535" s="25"/>
      <c r="G535" s="3">
        <v>1</v>
      </c>
      <c r="H535" s="3">
        <v>6</v>
      </c>
      <c r="I535" s="3">
        <v>0</v>
      </c>
      <c r="J535" s="3">
        <v>6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18"/>
      <c r="Q535" s="18"/>
      <c r="R535" s="18"/>
      <c r="S535" s="3"/>
      <c r="T535" s="3">
        <v>0</v>
      </c>
      <c r="U535" s="3">
        <v>-4</v>
      </c>
      <c r="V535" s="3">
        <v>377594.85</v>
      </c>
      <c r="W535" s="22"/>
      <c r="Z535" s="27">
        <f t="shared" si="8"/>
        <v>6</v>
      </c>
    </row>
    <row r="536" spans="1:26" ht="23" customHeight="1">
      <c r="A536" s="3" t="s">
        <v>56</v>
      </c>
      <c r="B536" s="3" t="s">
        <v>1157</v>
      </c>
      <c r="C536" s="3" t="s">
        <v>58</v>
      </c>
      <c r="D536" s="3" t="s">
        <v>22</v>
      </c>
      <c r="E536" s="3" t="s">
        <v>23</v>
      </c>
      <c r="F536" s="25"/>
      <c r="G536" s="3">
        <v>3</v>
      </c>
      <c r="H536" s="3">
        <v>10</v>
      </c>
      <c r="I536" s="3">
        <v>0</v>
      </c>
      <c r="J536" s="3">
        <v>7</v>
      </c>
      <c r="K536" s="3">
        <v>0</v>
      </c>
      <c r="L536" s="3">
        <v>0</v>
      </c>
      <c r="M536" s="3">
        <v>0</v>
      </c>
      <c r="N536" s="3">
        <v>0</v>
      </c>
      <c r="O536" s="3">
        <v>3</v>
      </c>
      <c r="P536" s="18"/>
      <c r="Q536" s="18"/>
      <c r="R536" s="18"/>
      <c r="S536" s="3"/>
      <c r="T536" s="3">
        <v>0</v>
      </c>
      <c r="U536" s="3">
        <v>-5</v>
      </c>
      <c r="V536" s="3">
        <v>582290.42348571424</v>
      </c>
      <c r="W536" s="22"/>
      <c r="Z536" s="27">
        <f t="shared" si="8"/>
        <v>2.3333333333333335</v>
      </c>
    </row>
    <row r="537" spans="1:26" ht="23" customHeight="1">
      <c r="A537" s="3" t="s">
        <v>1158</v>
      </c>
      <c r="B537" s="3" t="s">
        <v>1159</v>
      </c>
      <c r="C537" s="3" t="s">
        <v>55</v>
      </c>
      <c r="D537" s="3" t="s">
        <v>22</v>
      </c>
      <c r="E537" s="3" t="s">
        <v>23</v>
      </c>
      <c r="F537" s="25"/>
      <c r="G537" s="3">
        <v>1</v>
      </c>
      <c r="H537" s="3">
        <v>5</v>
      </c>
      <c r="I537" s="3">
        <v>0</v>
      </c>
      <c r="J537" s="3">
        <v>5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18"/>
      <c r="Q537" s="18"/>
      <c r="R537" s="18"/>
      <c r="S537" s="3"/>
      <c r="T537" s="3">
        <v>0</v>
      </c>
      <c r="U537" s="3">
        <v>-1</v>
      </c>
      <c r="V537" s="3">
        <v>47265.957500000004</v>
      </c>
      <c r="W537" s="22"/>
      <c r="Z537" s="27">
        <f t="shared" si="8"/>
        <v>5</v>
      </c>
    </row>
    <row r="538" spans="1:26" ht="23" customHeight="1">
      <c r="A538" s="3" t="s">
        <v>939</v>
      </c>
      <c r="B538" s="3" t="s">
        <v>1160</v>
      </c>
      <c r="C538" s="3" t="s">
        <v>941</v>
      </c>
      <c r="D538" s="3" t="s">
        <v>22</v>
      </c>
      <c r="E538" s="3" t="s">
        <v>23</v>
      </c>
      <c r="F538" s="25"/>
      <c r="G538" s="3">
        <v>4</v>
      </c>
      <c r="H538" s="3">
        <v>19</v>
      </c>
      <c r="I538" s="3">
        <v>0</v>
      </c>
      <c r="J538" s="3">
        <v>15</v>
      </c>
      <c r="K538" s="3">
        <v>0</v>
      </c>
      <c r="L538" s="3">
        <v>0</v>
      </c>
      <c r="M538" s="3">
        <v>0</v>
      </c>
      <c r="N538" s="3">
        <v>0</v>
      </c>
      <c r="O538" s="3">
        <v>4</v>
      </c>
      <c r="P538" s="18"/>
      <c r="Q538" s="18"/>
      <c r="R538" s="18"/>
      <c r="S538" s="3">
        <v>1</v>
      </c>
      <c r="T538" s="3">
        <v>-1</v>
      </c>
      <c r="U538" s="3">
        <v>-7</v>
      </c>
      <c r="V538" s="3">
        <v>4580644.75</v>
      </c>
      <c r="W538" s="22"/>
      <c r="Z538" s="27">
        <f t="shared" si="8"/>
        <v>3.75</v>
      </c>
    </row>
    <row r="539" spans="1:26" ht="23" customHeight="1">
      <c r="A539" s="3" t="s">
        <v>954</v>
      </c>
      <c r="B539" s="3" t="s">
        <v>1161</v>
      </c>
      <c r="C539" s="3" t="s">
        <v>1136</v>
      </c>
      <c r="D539" s="3" t="s">
        <v>22</v>
      </c>
      <c r="E539" s="3" t="s">
        <v>23</v>
      </c>
      <c r="F539" s="25"/>
      <c r="G539" s="3">
        <v>2</v>
      </c>
      <c r="H539" s="3">
        <v>3</v>
      </c>
      <c r="I539" s="3">
        <v>0</v>
      </c>
      <c r="J539" s="3">
        <v>3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18"/>
      <c r="Q539" s="18"/>
      <c r="R539" s="18"/>
      <c r="S539" s="3"/>
      <c r="T539" s="3"/>
      <c r="U539" s="3"/>
      <c r="V539" s="3">
        <v>1435600.11</v>
      </c>
      <c r="W539" s="22"/>
      <c r="Z539" s="27">
        <f t="shared" si="8"/>
        <v>1.5</v>
      </c>
    </row>
    <row r="540" spans="1:26" ht="23" customHeight="1">
      <c r="A540" s="3" t="s">
        <v>954</v>
      </c>
      <c r="B540" s="3" t="s">
        <v>1162</v>
      </c>
      <c r="C540" s="3" t="s">
        <v>956</v>
      </c>
      <c r="D540" s="3" t="s">
        <v>22</v>
      </c>
      <c r="E540" s="3" t="s">
        <v>23</v>
      </c>
      <c r="F540" s="25"/>
      <c r="G540" s="3">
        <v>1</v>
      </c>
      <c r="H540" s="3">
        <v>4</v>
      </c>
      <c r="I540" s="3">
        <v>0</v>
      </c>
      <c r="J540" s="3">
        <v>4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18"/>
      <c r="Q540" s="18"/>
      <c r="R540" s="18"/>
      <c r="S540" s="3"/>
      <c r="T540" s="3">
        <v>0</v>
      </c>
      <c r="U540" s="3">
        <v>-2</v>
      </c>
      <c r="V540" s="3">
        <v>1817655.1206166665</v>
      </c>
      <c r="W540" s="22"/>
      <c r="Z540" s="27">
        <f t="shared" si="8"/>
        <v>4</v>
      </c>
    </row>
    <row r="541" spans="1:26" ht="20" customHeight="1">
      <c r="A541" s="3" t="s">
        <v>36</v>
      </c>
      <c r="B541" s="3" t="s">
        <v>1163</v>
      </c>
      <c r="C541" s="3" t="s">
        <v>38</v>
      </c>
      <c r="D541" s="3" t="s">
        <v>22</v>
      </c>
      <c r="E541" s="3" t="s">
        <v>23</v>
      </c>
      <c r="F541" s="25"/>
      <c r="G541" s="3">
        <v>1</v>
      </c>
      <c r="H541" s="3">
        <v>16</v>
      </c>
      <c r="I541" s="3">
        <v>0</v>
      </c>
      <c r="J541" s="3">
        <v>15</v>
      </c>
      <c r="K541" s="3">
        <v>0</v>
      </c>
      <c r="L541" s="3">
        <v>0</v>
      </c>
      <c r="M541" s="3">
        <v>0</v>
      </c>
      <c r="N541" s="3">
        <v>0</v>
      </c>
      <c r="O541" s="3">
        <v>1</v>
      </c>
      <c r="P541" s="18"/>
      <c r="Q541" s="18"/>
      <c r="R541" s="18"/>
      <c r="S541" s="3"/>
      <c r="T541" s="3">
        <v>0</v>
      </c>
      <c r="U541" s="3">
        <v>-6</v>
      </c>
      <c r="V541" s="3"/>
      <c r="W541" s="22"/>
      <c r="Z541" s="27">
        <f t="shared" si="8"/>
        <v>15</v>
      </c>
    </row>
    <row r="542" spans="1:26" ht="23" customHeight="1">
      <c r="A542" s="3" t="s">
        <v>1164</v>
      </c>
      <c r="B542" s="3" t="s">
        <v>1165</v>
      </c>
      <c r="C542" s="3" t="s">
        <v>1166</v>
      </c>
      <c r="D542" s="3" t="s">
        <v>22</v>
      </c>
      <c r="E542" s="3" t="s">
        <v>23</v>
      </c>
      <c r="F542" s="25"/>
      <c r="G542" s="3">
        <v>2</v>
      </c>
      <c r="H542" s="3">
        <v>5</v>
      </c>
      <c r="I542" s="3">
        <v>0</v>
      </c>
      <c r="J542" s="3">
        <v>5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18"/>
      <c r="Q542" s="18"/>
      <c r="R542" s="18"/>
      <c r="S542" s="3"/>
      <c r="T542" s="3"/>
      <c r="U542" s="3"/>
      <c r="V542" s="3">
        <v>1425000</v>
      </c>
      <c r="W542" s="22"/>
      <c r="Z542" s="27">
        <f t="shared" si="8"/>
        <v>2.5</v>
      </c>
    </row>
    <row r="543" spans="1:26" ht="20" customHeight="1">
      <c r="A543" s="3" t="s">
        <v>36</v>
      </c>
      <c r="B543" s="3" t="s">
        <v>1167</v>
      </c>
      <c r="C543" s="3" t="s">
        <v>38</v>
      </c>
      <c r="D543" s="3" t="s">
        <v>22</v>
      </c>
      <c r="E543" s="3" t="s">
        <v>23</v>
      </c>
      <c r="F543" s="25"/>
      <c r="G543" s="3">
        <v>2</v>
      </c>
      <c r="H543" s="3">
        <v>2</v>
      </c>
      <c r="I543" s="3">
        <v>0</v>
      </c>
      <c r="J543" s="3">
        <v>2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18"/>
      <c r="Q543" s="18"/>
      <c r="R543" s="18"/>
      <c r="S543" s="3"/>
      <c r="T543" s="3">
        <v>0</v>
      </c>
      <c r="U543" s="3">
        <v>-4</v>
      </c>
      <c r="V543" s="3">
        <v>2060188.7390000001</v>
      </c>
      <c r="W543" s="22"/>
      <c r="Z543" s="27">
        <f t="shared" si="8"/>
        <v>1</v>
      </c>
    </row>
    <row r="544" spans="1:26" ht="23" customHeight="1">
      <c r="A544" s="3" t="s">
        <v>59</v>
      </c>
      <c r="B544" s="3" t="s">
        <v>1168</v>
      </c>
      <c r="C544" s="3" t="s">
        <v>1089</v>
      </c>
      <c r="D544" s="3" t="s">
        <v>22</v>
      </c>
      <c r="E544" s="3" t="s">
        <v>23</v>
      </c>
      <c r="F544" s="25"/>
      <c r="G544" s="3">
        <v>1</v>
      </c>
      <c r="H544" s="3">
        <v>5</v>
      </c>
      <c r="I544" s="3">
        <v>0</v>
      </c>
      <c r="J544" s="3">
        <v>4</v>
      </c>
      <c r="K544" s="3">
        <v>0</v>
      </c>
      <c r="L544" s="3">
        <v>0</v>
      </c>
      <c r="M544" s="3">
        <v>0</v>
      </c>
      <c r="N544" s="3">
        <v>0</v>
      </c>
      <c r="O544" s="3">
        <v>1</v>
      </c>
      <c r="P544" s="18"/>
      <c r="Q544" s="18"/>
      <c r="R544" s="18"/>
      <c r="S544" s="3"/>
      <c r="T544" s="3">
        <v>0</v>
      </c>
      <c r="U544" s="3">
        <v>-4</v>
      </c>
      <c r="V544" s="3">
        <v>2752876.1466666665</v>
      </c>
      <c r="W544" s="22"/>
      <c r="Z544" s="27">
        <f t="shared" si="8"/>
        <v>4</v>
      </c>
    </row>
    <row r="545" spans="1:27" ht="23" customHeight="1">
      <c r="A545" s="3" t="s">
        <v>1164</v>
      </c>
      <c r="B545" s="3" t="s">
        <v>1169</v>
      </c>
      <c r="C545" s="3" t="s">
        <v>1170</v>
      </c>
      <c r="D545" s="3" t="s">
        <v>22</v>
      </c>
      <c r="E545" s="3" t="s">
        <v>23</v>
      </c>
      <c r="F545" s="25"/>
      <c r="G545" s="3">
        <v>1</v>
      </c>
      <c r="H545" s="3">
        <v>4</v>
      </c>
      <c r="I545" s="3">
        <v>0</v>
      </c>
      <c r="J545" s="3">
        <v>4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18"/>
      <c r="Q545" s="18"/>
      <c r="R545" s="18"/>
      <c r="S545" s="3"/>
      <c r="T545" s="3"/>
      <c r="U545" s="3"/>
      <c r="V545" s="3">
        <v>157254.66855555555</v>
      </c>
      <c r="W545" s="22"/>
      <c r="Z545" s="27">
        <f t="shared" si="8"/>
        <v>4</v>
      </c>
    </row>
    <row r="546" spans="1:27" ht="20" customHeight="1">
      <c r="A546" s="3" t="s">
        <v>427</v>
      </c>
      <c r="B546" s="3" t="s">
        <v>1171</v>
      </c>
      <c r="C546" s="3" t="s">
        <v>1172</v>
      </c>
      <c r="D546" s="3" t="s">
        <v>22</v>
      </c>
      <c r="E546" s="3" t="s">
        <v>23</v>
      </c>
      <c r="F546" s="25"/>
      <c r="G546" s="3">
        <v>1</v>
      </c>
      <c r="H546" s="3">
        <v>10</v>
      </c>
      <c r="I546" s="3">
        <v>0</v>
      </c>
      <c r="J546" s="3">
        <v>6</v>
      </c>
      <c r="K546" s="3">
        <v>0</v>
      </c>
      <c r="L546" s="3">
        <v>0</v>
      </c>
      <c r="M546" s="3">
        <v>0</v>
      </c>
      <c r="N546" s="3">
        <v>0</v>
      </c>
      <c r="O546" s="3">
        <v>4</v>
      </c>
      <c r="P546" s="18"/>
      <c r="Q546" s="18"/>
      <c r="R546" s="18"/>
      <c r="S546" s="3"/>
      <c r="T546" s="3">
        <v>-1</v>
      </c>
      <c r="U546" s="3">
        <v>-11</v>
      </c>
      <c r="V546" s="3">
        <v>2191631.7000000002</v>
      </c>
      <c r="W546" s="22"/>
      <c r="Z546" s="27">
        <f t="shared" si="8"/>
        <v>6</v>
      </c>
    </row>
    <row r="547" spans="1:27" ht="20" customHeight="1">
      <c r="A547" s="3" t="s">
        <v>48</v>
      </c>
      <c r="B547" s="3" t="s">
        <v>1173</v>
      </c>
      <c r="C547" s="3" t="s">
        <v>50</v>
      </c>
      <c r="D547" s="3" t="s">
        <v>22</v>
      </c>
      <c r="E547" s="3" t="s">
        <v>23</v>
      </c>
      <c r="F547" s="25"/>
      <c r="G547" s="3">
        <v>2</v>
      </c>
      <c r="H547" s="3">
        <v>7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2</v>
      </c>
      <c r="O547" s="3">
        <v>5</v>
      </c>
      <c r="P547" s="18"/>
      <c r="Q547" s="18"/>
      <c r="R547" s="18"/>
      <c r="S547" s="3"/>
      <c r="T547" s="3">
        <v>-3</v>
      </c>
      <c r="U547" s="3">
        <v>-8</v>
      </c>
      <c r="V547" s="3">
        <v>5776267.4199999999</v>
      </c>
      <c r="W547" s="22"/>
      <c r="Z547" s="27">
        <f t="shared" si="8"/>
        <v>0</v>
      </c>
    </row>
    <row r="548" spans="1:27" ht="23" customHeight="1">
      <c r="A548" s="3" t="s">
        <v>45</v>
      </c>
      <c r="B548" s="3" t="s">
        <v>1174</v>
      </c>
      <c r="C548" s="3" t="s">
        <v>1175</v>
      </c>
      <c r="D548" s="3" t="s">
        <v>22</v>
      </c>
      <c r="E548" s="3" t="s">
        <v>23</v>
      </c>
      <c r="F548" s="25"/>
      <c r="G548" s="3">
        <v>1</v>
      </c>
      <c r="H548" s="3">
        <v>2</v>
      </c>
      <c r="I548" s="3">
        <v>0</v>
      </c>
      <c r="J548" s="3">
        <v>2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18"/>
      <c r="Q548" s="18"/>
      <c r="R548" s="18"/>
      <c r="S548" s="3"/>
      <c r="T548" s="3"/>
      <c r="U548" s="3"/>
      <c r="V548" s="3"/>
      <c r="W548" s="22"/>
      <c r="Z548" s="27">
        <f t="shared" si="8"/>
        <v>2</v>
      </c>
    </row>
    <row r="549" spans="1:27" ht="23" customHeight="1">
      <c r="A549" s="3" t="s">
        <v>48</v>
      </c>
      <c r="B549" s="3" t="s">
        <v>1176</v>
      </c>
      <c r="C549" s="3" t="s">
        <v>1177</v>
      </c>
      <c r="D549" s="3" t="s">
        <v>22</v>
      </c>
      <c r="E549" s="3" t="s">
        <v>91</v>
      </c>
      <c r="F549" s="25"/>
      <c r="G549" s="3">
        <v>1</v>
      </c>
      <c r="H549" s="3">
        <v>6</v>
      </c>
      <c r="I549" s="3">
        <v>0</v>
      </c>
      <c r="J549" s="3">
        <v>6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18"/>
      <c r="Q549" s="18"/>
      <c r="R549" s="18"/>
      <c r="S549" s="3"/>
      <c r="T549" s="3"/>
      <c r="U549" s="3"/>
      <c r="V549" s="3">
        <v>0</v>
      </c>
      <c r="W549" s="22"/>
      <c r="Z549" s="27">
        <f t="shared" si="8"/>
        <v>6</v>
      </c>
    </row>
    <row r="550" spans="1:27" ht="23" customHeight="1">
      <c r="A550" s="3" t="s">
        <v>1164</v>
      </c>
      <c r="B550" s="3" t="s">
        <v>1178</v>
      </c>
      <c r="C550" s="3" t="s">
        <v>1179</v>
      </c>
      <c r="D550" s="3" t="s">
        <v>22</v>
      </c>
      <c r="E550" s="3" t="s">
        <v>23</v>
      </c>
      <c r="F550" s="25"/>
      <c r="G550" s="3">
        <v>2</v>
      </c>
      <c r="H550" s="3">
        <v>7</v>
      </c>
      <c r="I550" s="3">
        <v>0</v>
      </c>
      <c r="J550" s="3">
        <v>3</v>
      </c>
      <c r="K550" s="3">
        <v>0</v>
      </c>
      <c r="L550" s="3">
        <v>0</v>
      </c>
      <c r="M550" s="3">
        <v>0</v>
      </c>
      <c r="N550" s="3">
        <v>0</v>
      </c>
      <c r="O550" s="3">
        <v>4</v>
      </c>
      <c r="P550" s="18"/>
      <c r="Q550" s="18"/>
      <c r="R550" s="18"/>
      <c r="S550" s="3">
        <v>1</v>
      </c>
      <c r="T550" s="3">
        <v>0</v>
      </c>
      <c r="U550" s="3">
        <v>-9</v>
      </c>
      <c r="V550" s="3">
        <v>0</v>
      </c>
      <c r="W550" s="22"/>
      <c r="Z550" s="27">
        <f t="shared" si="8"/>
        <v>1.5</v>
      </c>
    </row>
    <row r="551" spans="1:27" ht="23" customHeight="1">
      <c r="A551" s="3" t="s">
        <v>1164</v>
      </c>
      <c r="B551" s="3" t="s">
        <v>1180</v>
      </c>
      <c r="C551" s="3" t="s">
        <v>1170</v>
      </c>
      <c r="D551" s="3" t="s">
        <v>22</v>
      </c>
      <c r="E551" s="3" t="s">
        <v>23</v>
      </c>
      <c r="F551" s="25"/>
      <c r="G551" s="3">
        <v>1</v>
      </c>
      <c r="H551" s="3">
        <v>2</v>
      </c>
      <c r="I551" s="3">
        <v>0</v>
      </c>
      <c r="J551" s="3">
        <v>2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18"/>
      <c r="Q551" s="18"/>
      <c r="R551" s="18"/>
      <c r="S551" s="3"/>
      <c r="T551" s="3">
        <v>0</v>
      </c>
      <c r="U551" s="3">
        <v>-2</v>
      </c>
      <c r="V551" s="3">
        <v>222364</v>
      </c>
      <c r="W551" s="22"/>
      <c r="Z551" s="27">
        <f t="shared" si="8"/>
        <v>2</v>
      </c>
    </row>
    <row r="552" spans="1:27" ht="20" customHeight="1">
      <c r="A552" s="3" t="s">
        <v>36</v>
      </c>
      <c r="B552" s="3" t="s">
        <v>1181</v>
      </c>
      <c r="C552" s="3" t="s">
        <v>38</v>
      </c>
      <c r="D552" s="3" t="s">
        <v>22</v>
      </c>
      <c r="E552" s="3" t="s">
        <v>23</v>
      </c>
      <c r="F552" s="25"/>
      <c r="G552" s="3">
        <v>1</v>
      </c>
      <c r="H552" s="3">
        <v>1</v>
      </c>
      <c r="I552" s="3">
        <v>0</v>
      </c>
      <c r="J552" s="3">
        <v>1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18"/>
      <c r="Q552" s="18"/>
      <c r="R552" s="18"/>
      <c r="S552" s="3"/>
      <c r="T552" s="3"/>
      <c r="U552" s="3"/>
      <c r="V552" s="3">
        <v>0</v>
      </c>
      <c r="W552" s="22"/>
      <c r="Z552" s="27">
        <f t="shared" si="8"/>
        <v>1</v>
      </c>
    </row>
    <row r="553" spans="1:27" ht="20" customHeight="1">
      <c r="A553" s="3" t="s">
        <v>59</v>
      </c>
      <c r="B553" s="3" t="s">
        <v>1182</v>
      </c>
      <c r="C553" s="3" t="s">
        <v>1089</v>
      </c>
      <c r="D553" s="3" t="s">
        <v>22</v>
      </c>
      <c r="E553" s="3" t="s">
        <v>23</v>
      </c>
      <c r="F553" s="25"/>
      <c r="G553" s="3">
        <v>1</v>
      </c>
      <c r="H553" s="3">
        <v>9</v>
      </c>
      <c r="I553" s="3">
        <v>0</v>
      </c>
      <c r="J553" s="3">
        <v>8</v>
      </c>
      <c r="K553" s="3">
        <v>0</v>
      </c>
      <c r="L553" s="3">
        <v>0</v>
      </c>
      <c r="M553" s="3">
        <v>0</v>
      </c>
      <c r="N553" s="3">
        <v>0</v>
      </c>
      <c r="O553" s="3">
        <v>1</v>
      </c>
      <c r="P553" s="18"/>
      <c r="Q553" s="18"/>
      <c r="R553" s="18"/>
      <c r="S553" s="3"/>
      <c r="T553" s="3">
        <v>0</v>
      </c>
      <c r="U553" s="3">
        <v>-4</v>
      </c>
      <c r="V553" s="3"/>
      <c r="W553" s="22"/>
      <c r="Z553" s="27">
        <f t="shared" si="8"/>
        <v>8</v>
      </c>
    </row>
    <row r="554" spans="1:27" ht="23" customHeight="1">
      <c r="A554" s="3" t="s">
        <v>1183</v>
      </c>
      <c r="B554" s="3" t="s">
        <v>1184</v>
      </c>
      <c r="C554" s="3" t="s">
        <v>1185</v>
      </c>
      <c r="D554" s="3" t="s">
        <v>22</v>
      </c>
      <c r="E554" s="3" t="s">
        <v>23</v>
      </c>
      <c r="F554" s="25"/>
      <c r="G554" s="3">
        <v>1</v>
      </c>
      <c r="H554" s="3">
        <v>1</v>
      </c>
      <c r="I554" s="3">
        <v>0</v>
      </c>
      <c r="J554" s="3">
        <v>1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18"/>
      <c r="Q554" s="18"/>
      <c r="R554" s="18"/>
      <c r="S554" s="3"/>
      <c r="T554" s="3"/>
      <c r="U554" s="3"/>
      <c r="V554" s="3">
        <v>0</v>
      </c>
      <c r="W554" s="22"/>
      <c r="Z554" s="27">
        <f t="shared" si="8"/>
        <v>1</v>
      </c>
    </row>
    <row r="555" spans="1:27" ht="20" customHeight="1">
      <c r="A555" s="3" t="s">
        <v>1183</v>
      </c>
      <c r="B555" s="3" t="s">
        <v>1186</v>
      </c>
      <c r="C555" s="3" t="s">
        <v>1187</v>
      </c>
      <c r="D555" s="3" t="s">
        <v>22</v>
      </c>
      <c r="E555" s="3" t="s">
        <v>23</v>
      </c>
      <c r="F555" s="25"/>
      <c r="G555" s="3">
        <v>1</v>
      </c>
      <c r="H555" s="3">
        <v>1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18"/>
      <c r="Q555" s="18"/>
      <c r="R555" s="18"/>
      <c r="S555" s="3"/>
      <c r="T555" s="3"/>
      <c r="U555" s="3"/>
      <c r="V555" s="3">
        <v>0</v>
      </c>
      <c r="W555" s="22"/>
      <c r="Z555" s="27">
        <f t="shared" si="8"/>
        <v>1</v>
      </c>
    </row>
    <row r="556" spans="1:27" ht="23" customHeight="1">
      <c r="A556" s="3" t="s">
        <v>478</v>
      </c>
      <c r="B556" s="3" t="s">
        <v>1188</v>
      </c>
      <c r="C556" s="3" t="s">
        <v>1189</v>
      </c>
      <c r="D556" s="3" t="s">
        <v>22</v>
      </c>
      <c r="E556" s="3" t="s">
        <v>23</v>
      </c>
      <c r="F556" s="25"/>
      <c r="G556" s="3">
        <v>1</v>
      </c>
      <c r="H556" s="3">
        <v>1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1</v>
      </c>
      <c r="P556" s="18"/>
      <c r="Q556" s="18"/>
      <c r="R556" s="18"/>
      <c r="S556" s="3">
        <v>1</v>
      </c>
      <c r="T556" s="3">
        <v>-1</v>
      </c>
      <c r="U556" s="3">
        <v>-3</v>
      </c>
      <c r="V556" s="3">
        <v>7845313.0754000004</v>
      </c>
      <c r="W556" s="22"/>
      <c r="Z556" s="27">
        <f t="shared" si="8"/>
        <v>0</v>
      </c>
      <c r="AA556" s="19">
        <v>1</v>
      </c>
    </row>
    <row r="557" spans="1:27" ht="23" customHeight="1">
      <c r="A557" s="3" t="s">
        <v>323</v>
      </c>
      <c r="B557" s="3" t="s">
        <v>1190</v>
      </c>
      <c r="C557" s="3" t="s">
        <v>1191</v>
      </c>
      <c r="D557" s="3" t="s">
        <v>22</v>
      </c>
      <c r="E557" s="3" t="s">
        <v>23</v>
      </c>
      <c r="F557" s="25"/>
      <c r="G557" s="3">
        <v>2</v>
      </c>
      <c r="H557" s="3">
        <v>2</v>
      </c>
      <c r="I557" s="3">
        <v>0</v>
      </c>
      <c r="J557" s="3">
        <v>2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18"/>
      <c r="Q557" s="18"/>
      <c r="R557" s="18"/>
      <c r="S557" s="3"/>
      <c r="T557" s="3"/>
      <c r="U557" s="3"/>
      <c r="V557" s="3">
        <v>1206501.1759500001</v>
      </c>
      <c r="W557" s="22"/>
      <c r="Z557" s="27">
        <f t="shared" si="8"/>
        <v>1</v>
      </c>
    </row>
    <row r="558" spans="1:27" ht="20" customHeight="1">
      <c r="A558" s="3" t="s">
        <v>1192</v>
      </c>
      <c r="B558" s="3" t="s">
        <v>1193</v>
      </c>
      <c r="C558" s="3" t="s">
        <v>1194</v>
      </c>
      <c r="D558" s="3" t="s">
        <v>22</v>
      </c>
      <c r="E558" s="3" t="s">
        <v>23</v>
      </c>
      <c r="F558" s="25"/>
      <c r="G558" s="3">
        <v>1</v>
      </c>
      <c r="H558" s="3">
        <v>9</v>
      </c>
      <c r="I558" s="3">
        <v>0</v>
      </c>
      <c r="J558" s="3">
        <v>8</v>
      </c>
      <c r="K558" s="3">
        <v>0</v>
      </c>
      <c r="L558" s="3">
        <v>0</v>
      </c>
      <c r="M558" s="3">
        <v>0</v>
      </c>
      <c r="N558" s="3">
        <v>0</v>
      </c>
      <c r="O558" s="3">
        <v>1</v>
      </c>
      <c r="P558" s="18"/>
      <c r="Q558" s="18"/>
      <c r="R558" s="18"/>
      <c r="S558" s="3"/>
      <c r="T558" s="3">
        <v>-1</v>
      </c>
      <c r="U558" s="3">
        <v>-4</v>
      </c>
      <c r="V558" s="3">
        <v>0</v>
      </c>
      <c r="W558" s="22"/>
      <c r="Z558" s="27">
        <f t="shared" si="8"/>
        <v>8</v>
      </c>
    </row>
    <row r="559" spans="1:27" ht="20" customHeight="1">
      <c r="A559" s="3" t="s">
        <v>27</v>
      </c>
      <c r="B559" s="3" t="s">
        <v>1195</v>
      </c>
      <c r="C559" s="3" t="s">
        <v>1196</v>
      </c>
      <c r="D559" s="3" t="s">
        <v>22</v>
      </c>
      <c r="E559" s="3" t="s">
        <v>23</v>
      </c>
      <c r="F559" s="25"/>
      <c r="G559" s="3">
        <v>1</v>
      </c>
      <c r="H559" s="3">
        <v>3</v>
      </c>
      <c r="I559" s="3">
        <v>0</v>
      </c>
      <c r="J559" s="3">
        <v>2</v>
      </c>
      <c r="K559" s="3">
        <v>0</v>
      </c>
      <c r="L559" s="3">
        <v>0</v>
      </c>
      <c r="M559" s="3">
        <v>0</v>
      </c>
      <c r="N559" s="3">
        <v>0</v>
      </c>
      <c r="O559" s="3">
        <v>1</v>
      </c>
      <c r="P559" s="18"/>
      <c r="Q559" s="18"/>
      <c r="R559" s="18"/>
      <c r="S559" s="3"/>
      <c r="T559" s="3">
        <v>-1</v>
      </c>
      <c r="U559" s="3">
        <v>-3</v>
      </c>
      <c r="V559" s="3"/>
      <c r="W559" s="22"/>
      <c r="Z559" s="27">
        <f t="shared" si="8"/>
        <v>2</v>
      </c>
    </row>
    <row r="560" spans="1:27" ht="34" customHeight="1">
      <c r="A560" s="3" t="s">
        <v>194</v>
      </c>
      <c r="B560" s="3" t="s">
        <v>1197</v>
      </c>
      <c r="C560" s="3" t="s">
        <v>1198</v>
      </c>
      <c r="D560" s="3" t="s">
        <v>22</v>
      </c>
      <c r="E560" s="3" t="s">
        <v>23</v>
      </c>
      <c r="F560" s="25"/>
      <c r="G560" s="3">
        <v>2</v>
      </c>
      <c r="H560" s="3">
        <v>3</v>
      </c>
      <c r="I560" s="3">
        <v>0</v>
      </c>
      <c r="J560" s="3">
        <v>3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18"/>
      <c r="Q560" s="18"/>
      <c r="R560" s="18"/>
      <c r="S560" s="3"/>
      <c r="T560" s="3"/>
      <c r="U560" s="3"/>
      <c r="V560" s="3">
        <v>84025.974666666662</v>
      </c>
      <c r="W560" s="22"/>
      <c r="Z560" s="27">
        <f t="shared" si="8"/>
        <v>1.5</v>
      </c>
    </row>
    <row r="561" spans="1:26" ht="23" customHeight="1">
      <c r="A561" s="3" t="s">
        <v>194</v>
      </c>
      <c r="B561" s="3" t="s">
        <v>1199</v>
      </c>
      <c r="C561" s="3" t="s">
        <v>1200</v>
      </c>
      <c r="D561" s="3" t="s">
        <v>22</v>
      </c>
      <c r="E561" s="3" t="s">
        <v>23</v>
      </c>
      <c r="F561" s="25"/>
      <c r="G561" s="3">
        <v>1</v>
      </c>
      <c r="H561" s="3">
        <v>3</v>
      </c>
      <c r="I561" s="3">
        <v>0</v>
      </c>
      <c r="J561" s="3">
        <v>3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18"/>
      <c r="Q561" s="18"/>
      <c r="R561" s="18"/>
      <c r="S561" s="3"/>
      <c r="T561" s="3"/>
      <c r="U561" s="3"/>
      <c r="V561" s="3">
        <v>99911.482186666675</v>
      </c>
      <c r="W561" s="22"/>
      <c r="Z561" s="27">
        <f t="shared" si="8"/>
        <v>3</v>
      </c>
    </row>
    <row r="562" spans="1:26" ht="20" customHeight="1">
      <c r="A562" s="3" t="s">
        <v>19</v>
      </c>
      <c r="B562" s="3" t="s">
        <v>1201</v>
      </c>
      <c r="C562" s="3" t="s">
        <v>1202</v>
      </c>
      <c r="D562" s="3" t="s">
        <v>22</v>
      </c>
      <c r="E562" s="3" t="s">
        <v>23</v>
      </c>
      <c r="F562" s="25"/>
      <c r="G562" s="3">
        <v>1</v>
      </c>
      <c r="H562" s="3">
        <v>8</v>
      </c>
      <c r="I562" s="3">
        <v>0</v>
      </c>
      <c r="J562" s="3">
        <v>8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18"/>
      <c r="Q562" s="18"/>
      <c r="R562" s="18"/>
      <c r="S562" s="3"/>
      <c r="T562" s="3"/>
      <c r="U562" s="3"/>
      <c r="V562" s="3">
        <v>593175.9</v>
      </c>
      <c r="W562" s="22"/>
      <c r="Z562" s="27">
        <f t="shared" si="8"/>
        <v>8</v>
      </c>
    </row>
    <row r="563" spans="1:26" ht="34" customHeight="1">
      <c r="A563" s="3" t="s">
        <v>194</v>
      </c>
      <c r="B563" s="3" t="s">
        <v>1203</v>
      </c>
      <c r="C563" s="3" t="s">
        <v>1204</v>
      </c>
      <c r="D563" s="3" t="s">
        <v>22</v>
      </c>
      <c r="E563" s="3" t="s">
        <v>23</v>
      </c>
      <c r="F563" s="25"/>
      <c r="G563" s="3">
        <v>2</v>
      </c>
      <c r="H563" s="3">
        <v>4</v>
      </c>
      <c r="I563" s="3">
        <v>0</v>
      </c>
      <c r="J563" s="3">
        <v>4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18"/>
      <c r="Q563" s="18"/>
      <c r="R563" s="18"/>
      <c r="S563" s="3"/>
      <c r="T563" s="3">
        <v>0</v>
      </c>
      <c r="U563" s="3">
        <v>-2</v>
      </c>
      <c r="V563" s="3"/>
      <c r="W563" s="22"/>
      <c r="Z563" s="27">
        <f t="shared" si="8"/>
        <v>2</v>
      </c>
    </row>
    <row r="564" spans="1:26" ht="23" customHeight="1">
      <c r="A564" s="3" t="s">
        <v>197</v>
      </c>
      <c r="B564" s="3" t="s">
        <v>1205</v>
      </c>
      <c r="C564" s="3" t="s">
        <v>199</v>
      </c>
      <c r="D564" s="3" t="s">
        <v>22</v>
      </c>
      <c r="E564" s="3" t="s">
        <v>91</v>
      </c>
      <c r="F564" s="25"/>
      <c r="G564" s="3">
        <v>3</v>
      </c>
      <c r="H564" s="3">
        <v>3</v>
      </c>
      <c r="I564" s="3">
        <v>0</v>
      </c>
      <c r="J564" s="3">
        <v>3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18"/>
      <c r="Q564" s="18"/>
      <c r="R564" s="18"/>
      <c r="S564" s="3"/>
      <c r="T564" s="3"/>
      <c r="U564" s="3"/>
      <c r="V564" s="3">
        <v>575718.00985389238</v>
      </c>
      <c r="W564" s="22"/>
      <c r="Z564" s="27">
        <f t="shared" si="8"/>
        <v>1</v>
      </c>
    </row>
    <row r="565" spans="1:26" ht="23" customHeight="1">
      <c r="A565" s="3" t="s">
        <v>1206</v>
      </c>
      <c r="B565" s="3" t="s">
        <v>1207</v>
      </c>
      <c r="C565" s="3" t="s">
        <v>1208</v>
      </c>
      <c r="D565" s="3" t="s">
        <v>22</v>
      </c>
      <c r="E565" s="3" t="s">
        <v>23</v>
      </c>
      <c r="F565" s="25"/>
      <c r="G565" s="3">
        <v>3</v>
      </c>
      <c r="H565" s="3">
        <v>6</v>
      </c>
      <c r="I565" s="3">
        <v>0</v>
      </c>
      <c r="J565" s="3">
        <v>6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18"/>
      <c r="Q565" s="18"/>
      <c r="R565" s="18"/>
      <c r="S565" s="3"/>
      <c r="T565" s="3"/>
      <c r="U565" s="3"/>
      <c r="V565" s="3">
        <v>0</v>
      </c>
      <c r="W565" s="22"/>
      <c r="Z565" s="27">
        <f t="shared" si="8"/>
        <v>2</v>
      </c>
    </row>
    <row r="566" spans="1:26" ht="23" customHeight="1">
      <c r="A566" s="3" t="s">
        <v>1206</v>
      </c>
      <c r="B566" s="3" t="s">
        <v>1209</v>
      </c>
      <c r="C566" s="3" t="s">
        <v>1208</v>
      </c>
      <c r="D566" s="3" t="s">
        <v>22</v>
      </c>
      <c r="E566" s="3" t="s">
        <v>23</v>
      </c>
      <c r="F566" s="25"/>
      <c r="G566" s="3">
        <v>4</v>
      </c>
      <c r="H566" s="3">
        <v>17</v>
      </c>
      <c r="I566" s="3">
        <v>0</v>
      </c>
      <c r="J566" s="3">
        <v>10</v>
      </c>
      <c r="K566" s="3">
        <v>0</v>
      </c>
      <c r="L566" s="3">
        <v>0</v>
      </c>
      <c r="M566" s="3">
        <v>0</v>
      </c>
      <c r="N566" s="3">
        <v>0</v>
      </c>
      <c r="O566" s="3">
        <v>7</v>
      </c>
      <c r="P566" s="18"/>
      <c r="Q566" s="18"/>
      <c r="R566" s="18"/>
      <c r="S566" s="3"/>
      <c r="T566" s="3">
        <v>-8</v>
      </c>
      <c r="U566" s="3">
        <v>-44</v>
      </c>
      <c r="V566" s="3">
        <v>86918.487989000001</v>
      </c>
      <c r="W566" s="22"/>
      <c r="Z566" s="27">
        <f t="shared" si="8"/>
        <v>2.5</v>
      </c>
    </row>
    <row r="567" spans="1:26" ht="23" customHeight="1">
      <c r="A567" s="3" t="s">
        <v>1206</v>
      </c>
      <c r="B567" s="3" t="s">
        <v>1210</v>
      </c>
      <c r="C567" s="3" t="s">
        <v>1208</v>
      </c>
      <c r="D567" s="3" t="s">
        <v>22</v>
      </c>
      <c r="E567" s="3" t="s">
        <v>23</v>
      </c>
      <c r="F567" s="25"/>
      <c r="G567" s="3">
        <v>2</v>
      </c>
      <c r="H567" s="3">
        <v>14</v>
      </c>
      <c r="I567" s="3">
        <v>0</v>
      </c>
      <c r="J567" s="3">
        <v>13</v>
      </c>
      <c r="K567" s="3">
        <v>0</v>
      </c>
      <c r="L567" s="3">
        <v>0</v>
      </c>
      <c r="M567" s="3">
        <v>0</v>
      </c>
      <c r="N567" s="3">
        <v>0</v>
      </c>
      <c r="O567" s="3">
        <v>1</v>
      </c>
      <c r="P567" s="18"/>
      <c r="Q567" s="18"/>
      <c r="R567" s="18"/>
      <c r="S567" s="3"/>
      <c r="T567" s="3">
        <v>-1</v>
      </c>
      <c r="U567" s="3">
        <v>-9</v>
      </c>
      <c r="V567" s="3">
        <v>225000</v>
      </c>
      <c r="W567" s="22"/>
      <c r="Z567" s="27">
        <f t="shared" si="8"/>
        <v>6.5</v>
      </c>
    </row>
    <row r="568" spans="1:26" ht="23" customHeight="1">
      <c r="A568" s="3" t="s">
        <v>1211</v>
      </c>
      <c r="B568" s="3" t="s">
        <v>1212</v>
      </c>
      <c r="C568" s="3" t="s">
        <v>1213</v>
      </c>
      <c r="D568" s="3" t="s">
        <v>22</v>
      </c>
      <c r="E568" s="3" t="s">
        <v>23</v>
      </c>
      <c r="F568" s="25"/>
      <c r="G568" s="3">
        <v>3</v>
      </c>
      <c r="H568" s="3">
        <v>7</v>
      </c>
      <c r="I568" s="3">
        <v>0</v>
      </c>
      <c r="J568" s="3">
        <v>6</v>
      </c>
      <c r="K568" s="3">
        <v>0</v>
      </c>
      <c r="L568" s="3">
        <v>0</v>
      </c>
      <c r="M568" s="3">
        <v>0</v>
      </c>
      <c r="N568" s="3">
        <v>1</v>
      </c>
      <c r="O568" s="3">
        <v>0</v>
      </c>
      <c r="P568" s="18"/>
      <c r="Q568" s="18"/>
      <c r="R568" s="18"/>
      <c r="S568" s="3"/>
      <c r="T568" s="3">
        <v>0</v>
      </c>
      <c r="U568" s="3">
        <v>-11</v>
      </c>
      <c r="V568" s="3">
        <v>179280.1825</v>
      </c>
      <c r="W568" s="22"/>
      <c r="Z568" s="27">
        <f t="shared" si="8"/>
        <v>2</v>
      </c>
    </row>
    <row r="569" spans="1:26" ht="23" customHeight="1">
      <c r="A569" s="3" t="s">
        <v>1214</v>
      </c>
      <c r="B569" s="3" t="s">
        <v>1215</v>
      </c>
      <c r="C569" s="3" t="s">
        <v>1216</v>
      </c>
      <c r="D569" s="3" t="s">
        <v>22</v>
      </c>
      <c r="E569" s="3" t="s">
        <v>23</v>
      </c>
      <c r="F569" s="25"/>
      <c r="G569" s="3">
        <v>10</v>
      </c>
      <c r="H569" s="3">
        <v>8</v>
      </c>
      <c r="I569" s="3">
        <v>0</v>
      </c>
      <c r="J569" s="3">
        <v>8</v>
      </c>
      <c r="K569" s="3">
        <v>0</v>
      </c>
      <c r="L569" s="3">
        <v>2</v>
      </c>
      <c r="M569" s="3">
        <v>0</v>
      </c>
      <c r="N569" s="3">
        <v>0</v>
      </c>
      <c r="O569" s="3">
        <v>0</v>
      </c>
      <c r="P569" s="18"/>
      <c r="Q569" s="18"/>
      <c r="R569" s="18"/>
      <c r="S569" s="3">
        <v>16</v>
      </c>
      <c r="T569" s="3">
        <v>-2</v>
      </c>
      <c r="U569" s="3">
        <v>-22</v>
      </c>
      <c r="V569" s="3">
        <v>198420.17998498099</v>
      </c>
      <c r="W569" s="22"/>
      <c r="Z569" s="27">
        <f t="shared" si="8"/>
        <v>0.8</v>
      </c>
    </row>
    <row r="570" spans="1:26" ht="23" customHeight="1">
      <c r="A570" s="3" t="s">
        <v>1211</v>
      </c>
      <c r="B570" s="3" t="s">
        <v>1217</v>
      </c>
      <c r="C570" s="3" t="s">
        <v>1218</v>
      </c>
      <c r="D570" s="3" t="s">
        <v>22</v>
      </c>
      <c r="E570" s="3" t="s">
        <v>23</v>
      </c>
      <c r="F570" s="25"/>
      <c r="G570" s="3">
        <v>2</v>
      </c>
      <c r="H570" s="3">
        <v>7</v>
      </c>
      <c r="I570" s="3">
        <v>0</v>
      </c>
      <c r="J570" s="3">
        <v>7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18"/>
      <c r="Q570" s="18"/>
      <c r="R570" s="18"/>
      <c r="S570" s="3"/>
      <c r="T570" s="3">
        <v>0</v>
      </c>
      <c r="U570" s="3">
        <v>-11</v>
      </c>
      <c r="V570" s="3">
        <v>376789.69113813335</v>
      </c>
      <c r="W570" s="22"/>
      <c r="Z570" s="27">
        <f t="shared" si="8"/>
        <v>3.5</v>
      </c>
    </row>
    <row r="571" spans="1:26" ht="23" customHeight="1">
      <c r="A571" s="3" t="s">
        <v>1219</v>
      </c>
      <c r="B571" s="3" t="s">
        <v>1220</v>
      </c>
      <c r="C571" s="3" t="s">
        <v>1221</v>
      </c>
      <c r="D571" s="3" t="s">
        <v>22</v>
      </c>
      <c r="E571" s="3" t="s">
        <v>145</v>
      </c>
      <c r="F571" s="25"/>
      <c r="G571" s="3">
        <v>6</v>
      </c>
      <c r="H571" s="3">
        <v>57</v>
      </c>
      <c r="I571" s="3">
        <v>0</v>
      </c>
      <c r="J571" s="3">
        <v>35</v>
      </c>
      <c r="K571" s="3">
        <v>0</v>
      </c>
      <c r="L571" s="3">
        <v>0</v>
      </c>
      <c r="M571" s="3">
        <v>0</v>
      </c>
      <c r="N571" s="3">
        <v>22</v>
      </c>
      <c r="O571" s="3">
        <v>0</v>
      </c>
      <c r="P571" s="18"/>
      <c r="Q571" s="18"/>
      <c r="R571" s="18"/>
      <c r="S571" s="3"/>
      <c r="T571" s="3">
        <v>-1</v>
      </c>
      <c r="U571" s="3">
        <v>-47</v>
      </c>
      <c r="V571" s="3">
        <v>229853.64151268479</v>
      </c>
      <c r="W571" s="22"/>
      <c r="Z571" s="27">
        <f t="shared" si="8"/>
        <v>5.833333333333333</v>
      </c>
    </row>
    <row r="572" spans="1:26" ht="20" customHeight="1">
      <c r="A572" s="3" t="s">
        <v>481</v>
      </c>
      <c r="B572" s="3" t="s">
        <v>1222</v>
      </c>
      <c r="C572" s="3" t="s">
        <v>1223</v>
      </c>
      <c r="D572" s="3" t="s">
        <v>22</v>
      </c>
      <c r="E572" s="3" t="s">
        <v>23</v>
      </c>
      <c r="F572" s="25"/>
      <c r="G572" s="3">
        <v>1</v>
      </c>
      <c r="H572" s="3">
        <v>3</v>
      </c>
      <c r="I572" s="3">
        <v>0</v>
      </c>
      <c r="J572" s="3">
        <v>3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18"/>
      <c r="Q572" s="18"/>
      <c r="R572" s="18"/>
      <c r="S572" s="3"/>
      <c r="T572" s="3">
        <v>0</v>
      </c>
      <c r="U572" s="3">
        <v>-1</v>
      </c>
      <c r="V572" s="3">
        <v>14930.56</v>
      </c>
      <c r="W572" s="22"/>
      <c r="Z572" s="27">
        <f t="shared" si="8"/>
        <v>3</v>
      </c>
    </row>
    <row r="573" spans="1:26" ht="23" customHeight="1">
      <c r="A573" s="3" t="s">
        <v>496</v>
      </c>
      <c r="B573" s="3" t="s">
        <v>1224</v>
      </c>
      <c r="C573" s="3" t="s">
        <v>1225</v>
      </c>
      <c r="D573" s="3" t="s">
        <v>22</v>
      </c>
      <c r="E573" s="3" t="s">
        <v>23</v>
      </c>
      <c r="F573" s="25"/>
      <c r="G573" s="3">
        <v>2</v>
      </c>
      <c r="H573" s="3">
        <v>3</v>
      </c>
      <c r="I573" s="3">
        <v>0</v>
      </c>
      <c r="J573" s="3">
        <v>3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18"/>
      <c r="Q573" s="18"/>
      <c r="R573" s="18"/>
      <c r="S573" s="3"/>
      <c r="T573" s="3">
        <v>0</v>
      </c>
      <c r="U573" s="3">
        <v>-3</v>
      </c>
      <c r="V573" s="3">
        <v>50806.1</v>
      </c>
      <c r="W573" s="22"/>
      <c r="Z573" s="27">
        <f t="shared" si="8"/>
        <v>1.5</v>
      </c>
    </row>
    <row r="574" spans="1:26" ht="23" customHeight="1">
      <c r="A574" s="3" t="s">
        <v>481</v>
      </c>
      <c r="B574" s="3" t="s">
        <v>1226</v>
      </c>
      <c r="C574" s="3" t="s">
        <v>1227</v>
      </c>
      <c r="D574" s="3" t="s">
        <v>22</v>
      </c>
      <c r="E574" s="3" t="s">
        <v>23</v>
      </c>
      <c r="F574" s="25"/>
      <c r="G574" s="3">
        <v>4</v>
      </c>
      <c r="H574" s="3">
        <v>9</v>
      </c>
      <c r="I574" s="3">
        <v>0</v>
      </c>
      <c r="J574" s="3">
        <v>5</v>
      </c>
      <c r="K574" s="3">
        <v>0</v>
      </c>
      <c r="L574" s="3">
        <v>0</v>
      </c>
      <c r="M574" s="3">
        <v>0</v>
      </c>
      <c r="N574" s="3">
        <v>1</v>
      </c>
      <c r="O574" s="3">
        <v>3</v>
      </c>
      <c r="P574" s="18"/>
      <c r="Q574" s="18"/>
      <c r="R574" s="18"/>
      <c r="S574" s="3"/>
      <c r="T574" s="3">
        <v>0</v>
      </c>
      <c r="U574" s="3">
        <v>-11</v>
      </c>
      <c r="V574" s="3">
        <v>612276.95312800002</v>
      </c>
      <c r="W574" s="22"/>
      <c r="Z574" s="27">
        <f t="shared" si="8"/>
        <v>1.25</v>
      </c>
    </row>
    <row r="575" spans="1:26" ht="20" customHeight="1">
      <c r="A575" s="3" t="s">
        <v>481</v>
      </c>
      <c r="B575" s="3" t="s">
        <v>1228</v>
      </c>
      <c r="C575" s="3" t="s">
        <v>1223</v>
      </c>
      <c r="D575" s="3" t="s">
        <v>22</v>
      </c>
      <c r="E575" s="3" t="s">
        <v>23</v>
      </c>
      <c r="F575" s="25"/>
      <c r="G575" s="3">
        <v>2</v>
      </c>
      <c r="H575" s="3">
        <v>6</v>
      </c>
      <c r="I575" s="3">
        <v>0</v>
      </c>
      <c r="J575" s="3">
        <v>6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18"/>
      <c r="Q575" s="18"/>
      <c r="R575" s="18"/>
      <c r="S575" s="3"/>
      <c r="T575" s="3"/>
      <c r="U575" s="3"/>
      <c r="V575" s="3">
        <v>68650.259999999995</v>
      </c>
      <c r="W575" s="22"/>
      <c r="Z575" s="27">
        <f t="shared" si="8"/>
        <v>3</v>
      </c>
    </row>
    <row r="576" spans="1:26" ht="23" customHeight="1">
      <c r="A576" s="3" t="s">
        <v>481</v>
      </c>
      <c r="B576" s="3" t="s">
        <v>1229</v>
      </c>
      <c r="C576" s="3" t="s">
        <v>1230</v>
      </c>
      <c r="D576" s="3" t="s">
        <v>22</v>
      </c>
      <c r="E576" s="3" t="s">
        <v>23</v>
      </c>
      <c r="F576" s="25"/>
      <c r="G576" s="3">
        <v>1</v>
      </c>
      <c r="H576" s="3">
        <v>8</v>
      </c>
      <c r="I576" s="3">
        <v>0</v>
      </c>
      <c r="J576" s="3">
        <v>8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18"/>
      <c r="Q576" s="18"/>
      <c r="R576" s="18"/>
      <c r="S576" s="3"/>
      <c r="T576" s="3">
        <v>0</v>
      </c>
      <c r="U576" s="3">
        <v>-2</v>
      </c>
      <c r="V576" s="3">
        <v>400902.3433526532</v>
      </c>
      <c r="W576" s="22"/>
      <c r="Z576" s="27">
        <f t="shared" si="8"/>
        <v>8</v>
      </c>
    </row>
    <row r="577" spans="1:26" ht="23" customHeight="1">
      <c r="A577" s="3" t="s">
        <v>481</v>
      </c>
      <c r="B577" s="3" t="s">
        <v>1231</v>
      </c>
      <c r="C577" s="3" t="s">
        <v>1232</v>
      </c>
      <c r="D577" s="3" t="s">
        <v>22</v>
      </c>
      <c r="E577" s="3" t="s">
        <v>23</v>
      </c>
      <c r="F577" s="25"/>
      <c r="G577" s="3">
        <v>1</v>
      </c>
      <c r="H577" s="3">
        <v>1</v>
      </c>
      <c r="I577" s="3">
        <v>0</v>
      </c>
      <c r="J577" s="3">
        <v>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18"/>
      <c r="Q577" s="18"/>
      <c r="R577" s="18"/>
      <c r="S577" s="3"/>
      <c r="T577" s="3"/>
      <c r="U577" s="3"/>
      <c r="V577" s="3">
        <v>0</v>
      </c>
      <c r="W577" s="22"/>
      <c r="Z577" s="27">
        <f t="shared" si="8"/>
        <v>1</v>
      </c>
    </row>
    <row r="578" spans="1:26" ht="23" customHeight="1">
      <c r="A578" s="3" t="s">
        <v>481</v>
      </c>
      <c r="B578" s="3" t="s">
        <v>1233</v>
      </c>
      <c r="C578" s="3" t="s">
        <v>1234</v>
      </c>
      <c r="D578" s="3" t="s">
        <v>22</v>
      </c>
      <c r="E578" s="3" t="s">
        <v>23</v>
      </c>
      <c r="F578" s="25"/>
      <c r="G578" s="3">
        <v>1</v>
      </c>
      <c r="H578" s="3">
        <v>2</v>
      </c>
      <c r="I578" s="3">
        <v>0</v>
      </c>
      <c r="J578" s="3">
        <v>2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18"/>
      <c r="Q578" s="18"/>
      <c r="R578" s="18"/>
      <c r="S578" s="3"/>
      <c r="T578" s="3"/>
      <c r="U578" s="3"/>
      <c r="V578" s="3">
        <v>0</v>
      </c>
      <c r="W578" s="22"/>
      <c r="Z578" s="27">
        <f t="shared" si="8"/>
        <v>2</v>
      </c>
    </row>
    <row r="579" spans="1:26" ht="23" customHeight="1">
      <c r="A579" s="3" t="s">
        <v>1235</v>
      </c>
      <c r="B579" s="3" t="s">
        <v>1236</v>
      </c>
      <c r="C579" s="3" t="s">
        <v>1237</v>
      </c>
      <c r="D579" s="3" t="s">
        <v>22</v>
      </c>
      <c r="E579" s="3" t="s">
        <v>23</v>
      </c>
      <c r="F579" s="25"/>
      <c r="G579" s="3">
        <v>1</v>
      </c>
      <c r="H579" s="3">
        <v>2</v>
      </c>
      <c r="I579" s="3">
        <v>0</v>
      </c>
      <c r="J579" s="3">
        <v>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18"/>
      <c r="Q579" s="18"/>
      <c r="R579" s="18"/>
      <c r="S579" s="3"/>
      <c r="T579" s="3"/>
      <c r="U579" s="3"/>
      <c r="V579" s="3">
        <v>135338.9</v>
      </c>
      <c r="W579" s="22"/>
      <c r="Z579" s="27">
        <f t="shared" si="8"/>
        <v>2</v>
      </c>
    </row>
    <row r="580" spans="1:26" ht="23" customHeight="1">
      <c r="A580" s="3" t="s">
        <v>1238</v>
      </c>
      <c r="B580" s="3" t="s">
        <v>1239</v>
      </c>
      <c r="C580" s="3" t="s">
        <v>1240</v>
      </c>
      <c r="D580" s="3" t="s">
        <v>22</v>
      </c>
      <c r="E580" s="3" t="s">
        <v>23</v>
      </c>
      <c r="F580" s="25"/>
      <c r="G580" s="3">
        <v>1</v>
      </c>
      <c r="H580" s="3">
        <v>2</v>
      </c>
      <c r="I580" s="3">
        <v>0</v>
      </c>
      <c r="J580" s="3">
        <v>2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18"/>
      <c r="Q580" s="18"/>
      <c r="R580" s="18"/>
      <c r="S580" s="3"/>
      <c r="T580" s="3">
        <v>0</v>
      </c>
      <c r="U580" s="3">
        <v>-1</v>
      </c>
      <c r="V580" s="3">
        <v>150000</v>
      </c>
      <c r="W580" s="22"/>
      <c r="Z580" s="27">
        <f t="shared" ref="Z580:Z643" si="9">J580/G580</f>
        <v>2</v>
      </c>
    </row>
    <row r="581" spans="1:26" ht="23" customHeight="1">
      <c r="A581" s="3" t="s">
        <v>1238</v>
      </c>
      <c r="B581" s="3" t="s">
        <v>1241</v>
      </c>
      <c r="C581" s="3" t="s">
        <v>1242</v>
      </c>
      <c r="D581" s="3" t="s">
        <v>22</v>
      </c>
      <c r="E581" s="3" t="s">
        <v>23</v>
      </c>
      <c r="F581" s="25"/>
      <c r="G581" s="3">
        <v>1</v>
      </c>
      <c r="H581" s="3">
        <v>3</v>
      </c>
      <c r="I581" s="3">
        <v>0</v>
      </c>
      <c r="J581" s="3">
        <v>3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18"/>
      <c r="Q581" s="18"/>
      <c r="R581" s="18"/>
      <c r="S581" s="3"/>
      <c r="T581" s="3">
        <v>0</v>
      </c>
      <c r="U581" s="3">
        <v>-1</v>
      </c>
      <c r="V581" s="3"/>
      <c r="W581" s="22"/>
      <c r="Z581" s="27">
        <f t="shared" si="9"/>
        <v>3</v>
      </c>
    </row>
    <row r="582" spans="1:26" ht="20" customHeight="1">
      <c r="A582" s="3" t="s">
        <v>1243</v>
      </c>
      <c r="B582" s="3" t="s">
        <v>1244</v>
      </c>
      <c r="C582" s="3" t="s">
        <v>1245</v>
      </c>
      <c r="D582" s="3" t="s">
        <v>22</v>
      </c>
      <c r="E582" s="3" t="s">
        <v>23</v>
      </c>
      <c r="F582" s="25"/>
      <c r="G582" s="3">
        <v>1</v>
      </c>
      <c r="H582" s="3">
        <v>8</v>
      </c>
      <c r="I582" s="3">
        <v>0</v>
      </c>
      <c r="J582" s="3">
        <v>4</v>
      </c>
      <c r="K582" s="3">
        <v>0</v>
      </c>
      <c r="L582" s="3">
        <v>0</v>
      </c>
      <c r="M582" s="3">
        <v>0</v>
      </c>
      <c r="N582" s="3">
        <v>0</v>
      </c>
      <c r="O582" s="3">
        <v>4</v>
      </c>
      <c r="P582" s="18"/>
      <c r="Q582" s="18"/>
      <c r="R582" s="18"/>
      <c r="S582" s="3"/>
      <c r="T582" s="3">
        <v>-1</v>
      </c>
      <c r="U582" s="3">
        <v>-6</v>
      </c>
      <c r="V582" s="3">
        <v>35713504</v>
      </c>
      <c r="W582" s="22"/>
      <c r="Z582" s="27">
        <f t="shared" si="9"/>
        <v>4</v>
      </c>
    </row>
    <row r="583" spans="1:26" ht="20" customHeight="1">
      <c r="A583" s="3" t="s">
        <v>427</v>
      </c>
      <c r="B583" s="3" t="s">
        <v>1246</v>
      </c>
      <c r="C583" s="3" t="s">
        <v>1247</v>
      </c>
      <c r="D583" s="3" t="s">
        <v>22</v>
      </c>
      <c r="E583" s="3" t="s">
        <v>23</v>
      </c>
      <c r="F583" s="25"/>
      <c r="G583" s="3">
        <v>1</v>
      </c>
      <c r="H583" s="3">
        <v>3</v>
      </c>
      <c r="I583" s="3">
        <v>0</v>
      </c>
      <c r="J583" s="3">
        <v>3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18"/>
      <c r="Q583" s="18"/>
      <c r="R583" s="18"/>
      <c r="S583" s="3"/>
      <c r="T583" s="3">
        <v>-1</v>
      </c>
      <c r="U583" s="3">
        <v>-4</v>
      </c>
      <c r="V583" s="3">
        <v>3453600.9</v>
      </c>
      <c r="W583" s="22"/>
      <c r="Z583" s="27">
        <f t="shared" si="9"/>
        <v>3</v>
      </c>
    </row>
    <row r="584" spans="1:26" ht="20" customHeight="1">
      <c r="A584" s="3" t="s">
        <v>389</v>
      </c>
      <c r="B584" s="3" t="s">
        <v>1248</v>
      </c>
      <c r="C584" s="3" t="s">
        <v>305</v>
      </c>
      <c r="D584" s="3" t="s">
        <v>22</v>
      </c>
      <c r="E584" s="3" t="s">
        <v>23</v>
      </c>
      <c r="F584" s="25"/>
      <c r="G584" s="3">
        <v>2</v>
      </c>
      <c r="H584" s="3">
        <v>22</v>
      </c>
      <c r="I584" s="3">
        <v>0</v>
      </c>
      <c r="J584" s="3">
        <v>13</v>
      </c>
      <c r="K584" s="3">
        <v>1</v>
      </c>
      <c r="L584" s="3">
        <v>0</v>
      </c>
      <c r="M584" s="3">
        <v>0</v>
      </c>
      <c r="N584" s="3">
        <v>2</v>
      </c>
      <c r="O584" s="3">
        <v>6</v>
      </c>
      <c r="P584" s="18"/>
      <c r="Q584" s="18"/>
      <c r="R584" s="18"/>
      <c r="S584" s="3"/>
      <c r="T584" s="3">
        <v>-2</v>
      </c>
      <c r="U584" s="3">
        <v>-12</v>
      </c>
      <c r="V584" s="3"/>
      <c r="W584" s="22"/>
      <c r="Z584" s="27">
        <f t="shared" si="9"/>
        <v>6.5</v>
      </c>
    </row>
    <row r="585" spans="1:26" ht="23" customHeight="1">
      <c r="A585" s="3" t="s">
        <v>1249</v>
      </c>
      <c r="B585" s="3" t="s">
        <v>1250</v>
      </c>
      <c r="C585" s="3" t="s">
        <v>1251</v>
      </c>
      <c r="D585" s="3" t="s">
        <v>22</v>
      </c>
      <c r="E585" s="3" t="s">
        <v>23</v>
      </c>
      <c r="F585" s="25"/>
      <c r="G585" s="3">
        <v>2</v>
      </c>
      <c r="H585" s="3">
        <v>3</v>
      </c>
      <c r="I585" s="3">
        <v>0</v>
      </c>
      <c r="J585" s="3">
        <v>3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18"/>
      <c r="Q585" s="18"/>
      <c r="R585" s="18"/>
      <c r="S585" s="3"/>
      <c r="T585" s="3">
        <v>0</v>
      </c>
      <c r="U585" s="3">
        <v>-1</v>
      </c>
      <c r="V585" s="3">
        <v>637500</v>
      </c>
      <c r="W585" s="22"/>
      <c r="Z585" s="27">
        <f t="shared" si="9"/>
        <v>1.5</v>
      </c>
    </row>
    <row r="586" spans="1:26" ht="23" customHeight="1">
      <c r="A586" s="3" t="s">
        <v>99</v>
      </c>
      <c r="B586" s="3" t="s">
        <v>1252</v>
      </c>
      <c r="C586" s="3" t="s">
        <v>1253</v>
      </c>
      <c r="D586" s="3" t="s">
        <v>22</v>
      </c>
      <c r="E586" s="3" t="s">
        <v>23</v>
      </c>
      <c r="F586" s="25"/>
      <c r="G586" s="3">
        <v>2</v>
      </c>
      <c r="H586" s="3">
        <v>11</v>
      </c>
      <c r="I586" s="3">
        <v>0</v>
      </c>
      <c r="J586" s="3">
        <v>5</v>
      </c>
      <c r="K586" s="3">
        <v>0</v>
      </c>
      <c r="L586" s="3">
        <v>0</v>
      </c>
      <c r="M586" s="3">
        <v>0</v>
      </c>
      <c r="N586" s="3">
        <v>2</v>
      </c>
      <c r="O586" s="3">
        <v>4</v>
      </c>
      <c r="P586" s="18"/>
      <c r="Q586" s="18"/>
      <c r="R586" s="18"/>
      <c r="S586" s="3">
        <v>1</v>
      </c>
      <c r="T586" s="3">
        <v>-1</v>
      </c>
      <c r="U586" s="3">
        <v>-10</v>
      </c>
      <c r="V586" s="3">
        <v>239682.06329166665</v>
      </c>
      <c r="W586" s="22"/>
      <c r="Z586" s="27">
        <f t="shared" si="9"/>
        <v>2.5</v>
      </c>
    </row>
    <row r="587" spans="1:26" ht="20" customHeight="1">
      <c r="A587" s="3" t="s">
        <v>110</v>
      </c>
      <c r="B587" s="3" t="s">
        <v>1254</v>
      </c>
      <c r="C587" s="3" t="s">
        <v>1255</v>
      </c>
      <c r="D587" s="3" t="s">
        <v>22</v>
      </c>
      <c r="E587" s="3" t="s">
        <v>23</v>
      </c>
      <c r="F587" s="25"/>
      <c r="G587" s="3">
        <v>1</v>
      </c>
      <c r="H587" s="3">
        <v>1</v>
      </c>
      <c r="I587" s="3">
        <v>0</v>
      </c>
      <c r="J587" s="3">
        <v>1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18"/>
      <c r="Q587" s="18"/>
      <c r="R587" s="18"/>
      <c r="S587" s="3"/>
      <c r="T587" s="3"/>
      <c r="U587" s="3"/>
      <c r="V587" s="3">
        <v>0</v>
      </c>
      <c r="W587" s="22"/>
      <c r="Z587" s="27">
        <f t="shared" si="9"/>
        <v>1</v>
      </c>
    </row>
    <row r="588" spans="1:26" ht="20" customHeight="1">
      <c r="A588" s="3" t="s">
        <v>99</v>
      </c>
      <c r="B588" s="3" t="s">
        <v>1256</v>
      </c>
      <c r="C588" s="3" t="s">
        <v>1257</v>
      </c>
      <c r="D588" s="3" t="s">
        <v>30</v>
      </c>
      <c r="E588" s="3" t="s">
        <v>145</v>
      </c>
      <c r="F588" s="25"/>
      <c r="G588" s="3">
        <v>4</v>
      </c>
      <c r="H588" s="3">
        <v>9</v>
      </c>
      <c r="I588" s="3">
        <v>0</v>
      </c>
      <c r="J588" s="3">
        <v>4</v>
      </c>
      <c r="K588" s="3">
        <v>0</v>
      </c>
      <c r="L588" s="3">
        <v>3</v>
      </c>
      <c r="M588" s="3">
        <v>0</v>
      </c>
      <c r="N588" s="3">
        <v>5</v>
      </c>
      <c r="O588" s="3">
        <v>0</v>
      </c>
      <c r="P588" s="18"/>
      <c r="Q588" s="18"/>
      <c r="R588" s="18"/>
      <c r="S588" s="3">
        <v>14</v>
      </c>
      <c r="T588" s="3">
        <v>-4</v>
      </c>
      <c r="U588" s="3">
        <v>-26</v>
      </c>
      <c r="V588" s="3"/>
      <c r="W588" s="22"/>
      <c r="Z588" s="27">
        <f t="shared" si="9"/>
        <v>1</v>
      </c>
    </row>
    <row r="589" spans="1:26" ht="23" customHeight="1">
      <c r="A589" s="3" t="s">
        <v>803</v>
      </c>
      <c r="B589" s="3" t="s">
        <v>1258</v>
      </c>
      <c r="C589" s="3" t="s">
        <v>1259</v>
      </c>
      <c r="D589" s="3" t="s">
        <v>22</v>
      </c>
      <c r="E589" s="3" t="s">
        <v>91</v>
      </c>
      <c r="F589" s="25"/>
      <c r="G589" s="3">
        <v>2</v>
      </c>
      <c r="H589" s="3">
        <v>4</v>
      </c>
      <c r="I589" s="3">
        <v>0</v>
      </c>
      <c r="J589" s="3">
        <v>4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18"/>
      <c r="Q589" s="18"/>
      <c r="R589" s="18"/>
      <c r="S589" s="3"/>
      <c r="T589" s="3">
        <v>0</v>
      </c>
      <c r="U589" s="3">
        <v>-1</v>
      </c>
      <c r="V589" s="3"/>
      <c r="W589" s="22"/>
      <c r="Z589" s="27">
        <f t="shared" si="9"/>
        <v>2</v>
      </c>
    </row>
    <row r="590" spans="1:26" ht="23" customHeight="1">
      <c r="A590" s="3" t="s">
        <v>853</v>
      </c>
      <c r="B590" s="3" t="s">
        <v>1260</v>
      </c>
      <c r="C590" s="3" t="s">
        <v>1261</v>
      </c>
      <c r="D590" s="3" t="s">
        <v>22</v>
      </c>
      <c r="E590" s="3" t="s">
        <v>23</v>
      </c>
      <c r="F590" s="25"/>
      <c r="G590" s="3">
        <v>1</v>
      </c>
      <c r="H590" s="3">
        <v>3</v>
      </c>
      <c r="I590" s="3">
        <v>0</v>
      </c>
      <c r="J590" s="3">
        <v>1</v>
      </c>
      <c r="K590" s="3">
        <v>1</v>
      </c>
      <c r="L590" s="3">
        <v>0</v>
      </c>
      <c r="M590" s="3">
        <v>0</v>
      </c>
      <c r="N590" s="3">
        <v>1</v>
      </c>
      <c r="O590" s="3">
        <v>0</v>
      </c>
      <c r="P590" s="18"/>
      <c r="Q590" s="18"/>
      <c r="R590" s="18"/>
      <c r="S590" s="3"/>
      <c r="T590" s="3"/>
      <c r="U590" s="3"/>
      <c r="V590" s="3"/>
      <c r="W590" s="22"/>
      <c r="Z590" s="27">
        <f t="shared" si="9"/>
        <v>1</v>
      </c>
    </row>
    <row r="591" spans="1:26" ht="23" customHeight="1">
      <c r="A591" s="3" t="s">
        <v>225</v>
      </c>
      <c r="B591" s="3" t="s">
        <v>1262</v>
      </c>
      <c r="C591" s="3" t="s">
        <v>1263</v>
      </c>
      <c r="D591" s="3" t="s">
        <v>22</v>
      </c>
      <c r="E591" s="3" t="s">
        <v>23</v>
      </c>
      <c r="F591" s="25"/>
      <c r="G591" s="3">
        <v>1</v>
      </c>
      <c r="H591" s="3">
        <v>2</v>
      </c>
      <c r="I591" s="3">
        <v>0</v>
      </c>
      <c r="J591" s="3">
        <v>2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18"/>
      <c r="Q591" s="18"/>
      <c r="R591" s="18"/>
      <c r="S591" s="3"/>
      <c r="T591" s="3"/>
      <c r="U591" s="3"/>
      <c r="V591" s="3">
        <v>196096.08299999998</v>
      </c>
      <c r="W591" s="22"/>
      <c r="Z591" s="27">
        <f t="shared" si="9"/>
        <v>2</v>
      </c>
    </row>
    <row r="592" spans="1:26" ht="23" customHeight="1">
      <c r="A592" s="3" t="s">
        <v>732</v>
      </c>
      <c r="B592" s="3" t="s">
        <v>1264</v>
      </c>
      <c r="C592" s="3" t="s">
        <v>1265</v>
      </c>
      <c r="D592" s="3" t="s">
        <v>22</v>
      </c>
      <c r="E592" s="3" t="s">
        <v>23</v>
      </c>
      <c r="F592" s="25"/>
      <c r="G592" s="3">
        <v>2</v>
      </c>
      <c r="H592" s="3">
        <v>4</v>
      </c>
      <c r="I592" s="3">
        <v>0</v>
      </c>
      <c r="J592" s="3">
        <v>4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18"/>
      <c r="Q592" s="18"/>
      <c r="R592" s="18"/>
      <c r="S592" s="3"/>
      <c r="T592" s="3">
        <v>0</v>
      </c>
      <c r="U592" s="3">
        <v>-3</v>
      </c>
      <c r="V592" s="3">
        <v>821410.53333333344</v>
      </c>
      <c r="W592" s="22"/>
      <c r="Z592" s="27">
        <f t="shared" si="9"/>
        <v>2</v>
      </c>
    </row>
    <row r="593" spans="1:27" ht="23" customHeight="1">
      <c r="A593" s="3" t="s">
        <v>225</v>
      </c>
      <c r="B593" s="3" t="s">
        <v>1266</v>
      </c>
      <c r="C593" s="3" t="s">
        <v>1015</v>
      </c>
      <c r="D593" s="3" t="s">
        <v>22</v>
      </c>
      <c r="E593" s="3" t="s">
        <v>23</v>
      </c>
      <c r="F593" s="25"/>
      <c r="G593" s="3">
        <v>3</v>
      </c>
      <c r="H593" s="3">
        <v>10</v>
      </c>
      <c r="I593" s="3">
        <v>0</v>
      </c>
      <c r="J593" s="3">
        <v>9</v>
      </c>
      <c r="K593" s="3">
        <v>0</v>
      </c>
      <c r="L593" s="3">
        <v>0</v>
      </c>
      <c r="M593" s="3">
        <v>0</v>
      </c>
      <c r="N593" s="3">
        <v>1</v>
      </c>
      <c r="O593" s="3">
        <v>0</v>
      </c>
      <c r="P593" s="18"/>
      <c r="Q593" s="18"/>
      <c r="R593" s="18"/>
      <c r="S593" s="3"/>
      <c r="T593" s="3">
        <v>0</v>
      </c>
      <c r="U593" s="3">
        <v>-12</v>
      </c>
      <c r="V593" s="3">
        <v>210827.61</v>
      </c>
      <c r="W593" s="22"/>
      <c r="Z593" s="27">
        <f t="shared" si="9"/>
        <v>3</v>
      </c>
    </row>
    <row r="594" spans="1:27" ht="23" customHeight="1">
      <c r="A594" s="3" t="s">
        <v>225</v>
      </c>
      <c r="B594" s="3" t="s">
        <v>1267</v>
      </c>
      <c r="C594" s="3" t="s">
        <v>835</v>
      </c>
      <c r="D594" s="3" t="s">
        <v>22</v>
      </c>
      <c r="E594" s="3" t="s">
        <v>23</v>
      </c>
      <c r="F594" s="25"/>
      <c r="G594" s="3">
        <v>2</v>
      </c>
      <c r="H594" s="3">
        <v>4</v>
      </c>
      <c r="I594" s="3">
        <v>0</v>
      </c>
      <c r="J594" s="3">
        <v>4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18"/>
      <c r="Q594" s="18"/>
      <c r="R594" s="18"/>
      <c r="S594" s="3"/>
      <c r="T594" s="3"/>
      <c r="U594" s="3"/>
      <c r="V594" s="3">
        <v>352879.45036111114</v>
      </c>
      <c r="W594" s="22"/>
      <c r="Z594" s="27">
        <f t="shared" si="9"/>
        <v>2</v>
      </c>
    </row>
    <row r="595" spans="1:27" ht="23" customHeight="1">
      <c r="A595" s="3" t="s">
        <v>222</v>
      </c>
      <c r="B595" s="3" t="s">
        <v>1268</v>
      </c>
      <c r="C595" s="3" t="s">
        <v>1269</v>
      </c>
      <c r="D595" s="3" t="s">
        <v>22</v>
      </c>
      <c r="E595" s="3" t="s">
        <v>23</v>
      </c>
      <c r="F595" s="25"/>
      <c r="G595" s="3">
        <v>1</v>
      </c>
      <c r="H595" s="3">
        <v>3</v>
      </c>
      <c r="I595" s="3">
        <v>0</v>
      </c>
      <c r="J595" s="3">
        <v>1</v>
      </c>
      <c r="K595" s="3">
        <v>0</v>
      </c>
      <c r="L595" s="3">
        <v>0</v>
      </c>
      <c r="M595" s="3">
        <v>0</v>
      </c>
      <c r="N595" s="3">
        <v>0</v>
      </c>
      <c r="O595" s="3">
        <v>2</v>
      </c>
      <c r="P595" s="18"/>
      <c r="Q595" s="18"/>
      <c r="R595" s="18"/>
      <c r="S595" s="3">
        <v>1</v>
      </c>
      <c r="T595" s="3">
        <v>0</v>
      </c>
      <c r="U595" s="3">
        <v>-3</v>
      </c>
      <c r="V595" s="3">
        <v>841594.18260000006</v>
      </c>
      <c r="W595" s="22"/>
      <c r="Z595" s="27">
        <f t="shared" si="9"/>
        <v>1</v>
      </c>
      <c r="AA595" s="19">
        <v>1</v>
      </c>
    </row>
    <row r="596" spans="1:27" ht="23" customHeight="1">
      <c r="A596" s="3" t="s">
        <v>45</v>
      </c>
      <c r="B596" s="3" t="s">
        <v>1270</v>
      </c>
      <c r="C596" s="3" t="s">
        <v>1175</v>
      </c>
      <c r="D596" s="3" t="s">
        <v>22</v>
      </c>
      <c r="E596" s="3" t="s">
        <v>23</v>
      </c>
      <c r="F596" s="25"/>
      <c r="G596" s="3">
        <v>1</v>
      </c>
      <c r="H596" s="3">
        <v>2</v>
      </c>
      <c r="I596" s="3">
        <v>0</v>
      </c>
      <c r="J596" s="3">
        <v>2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18"/>
      <c r="Q596" s="18"/>
      <c r="R596" s="18"/>
      <c r="S596" s="3"/>
      <c r="T596" s="3">
        <v>0</v>
      </c>
      <c r="U596" s="3">
        <v>-1</v>
      </c>
      <c r="V596" s="3">
        <v>16055697.38875</v>
      </c>
      <c r="W596" s="22"/>
      <c r="Z596" s="27">
        <f t="shared" si="9"/>
        <v>2</v>
      </c>
    </row>
    <row r="597" spans="1:27" ht="23" customHeight="1">
      <c r="A597" s="3" t="s">
        <v>59</v>
      </c>
      <c r="B597" s="3" t="s">
        <v>1271</v>
      </c>
      <c r="C597" s="3" t="s">
        <v>375</v>
      </c>
      <c r="D597" s="3" t="s">
        <v>22</v>
      </c>
      <c r="E597" s="3" t="s">
        <v>145</v>
      </c>
      <c r="F597" s="25"/>
      <c r="G597" s="3">
        <v>2</v>
      </c>
      <c r="H597" s="3">
        <v>3</v>
      </c>
      <c r="I597" s="3">
        <v>0</v>
      </c>
      <c r="J597" s="3">
        <v>3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18"/>
      <c r="Q597" s="18"/>
      <c r="R597" s="18"/>
      <c r="S597" s="3"/>
      <c r="T597" s="3"/>
      <c r="U597" s="3"/>
      <c r="V597" s="3">
        <v>14715488.094000001</v>
      </c>
      <c r="W597" s="22"/>
      <c r="Z597" s="27">
        <f t="shared" si="9"/>
        <v>1.5</v>
      </c>
    </row>
    <row r="598" spans="1:27" ht="23" customHeight="1">
      <c r="A598" s="3" t="s">
        <v>45</v>
      </c>
      <c r="B598" s="3" t="s">
        <v>1272</v>
      </c>
      <c r="C598" s="3" t="s">
        <v>1273</v>
      </c>
      <c r="D598" s="3" t="s">
        <v>22</v>
      </c>
      <c r="E598" s="3" t="s">
        <v>23</v>
      </c>
      <c r="F598" s="25"/>
      <c r="G598" s="3">
        <v>1</v>
      </c>
      <c r="H598" s="3">
        <v>3</v>
      </c>
      <c r="I598" s="3">
        <v>0</v>
      </c>
      <c r="J598" s="3">
        <v>2</v>
      </c>
      <c r="K598" s="3">
        <v>0</v>
      </c>
      <c r="L598" s="3">
        <v>0</v>
      </c>
      <c r="M598" s="3">
        <v>0</v>
      </c>
      <c r="N598" s="3">
        <v>0</v>
      </c>
      <c r="O598" s="3">
        <v>1</v>
      </c>
      <c r="P598" s="18"/>
      <c r="Q598" s="18"/>
      <c r="R598" s="18"/>
      <c r="S598" s="3"/>
      <c r="T598" s="3">
        <v>0</v>
      </c>
      <c r="U598" s="3">
        <v>-1</v>
      </c>
      <c r="V598" s="3">
        <v>3228242.2451999998</v>
      </c>
      <c r="W598" s="22"/>
      <c r="Z598" s="27">
        <f t="shared" si="9"/>
        <v>2</v>
      </c>
    </row>
    <row r="599" spans="1:27" ht="23" customHeight="1">
      <c r="A599" s="3" t="s">
        <v>24</v>
      </c>
      <c r="B599" s="3" t="s">
        <v>1274</v>
      </c>
      <c r="C599" s="3" t="s">
        <v>1275</v>
      </c>
      <c r="D599" s="3" t="s">
        <v>22</v>
      </c>
      <c r="E599" s="3" t="s">
        <v>23</v>
      </c>
      <c r="F599" s="25"/>
      <c r="G599" s="3">
        <v>1</v>
      </c>
      <c r="H599" s="3">
        <v>1</v>
      </c>
      <c r="I599" s="3">
        <v>0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18"/>
      <c r="Q599" s="18"/>
      <c r="R599" s="18"/>
      <c r="S599" s="3"/>
      <c r="T599" s="3"/>
      <c r="U599" s="3"/>
      <c r="V599" s="3"/>
      <c r="W599" s="22"/>
      <c r="Z599" s="27">
        <f t="shared" si="9"/>
        <v>1</v>
      </c>
    </row>
    <row r="600" spans="1:27" ht="20" customHeight="1">
      <c r="A600" s="3" t="s">
        <v>45</v>
      </c>
      <c r="B600" s="3" t="s">
        <v>1276</v>
      </c>
      <c r="C600" s="3" t="s">
        <v>1277</v>
      </c>
      <c r="D600" s="3" t="s">
        <v>22</v>
      </c>
      <c r="E600" s="3" t="s">
        <v>23</v>
      </c>
      <c r="F600" s="25"/>
      <c r="G600" s="3">
        <v>1</v>
      </c>
      <c r="H600" s="3">
        <v>5</v>
      </c>
      <c r="I600" s="3">
        <v>0</v>
      </c>
      <c r="J600" s="3">
        <v>5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18"/>
      <c r="Q600" s="18"/>
      <c r="R600" s="18"/>
      <c r="S600" s="3"/>
      <c r="T600" s="3">
        <v>0</v>
      </c>
      <c r="U600" s="3">
        <v>-2</v>
      </c>
      <c r="V600" s="3">
        <v>1174377.6000000001</v>
      </c>
      <c r="W600" s="22"/>
      <c r="Z600" s="27">
        <f t="shared" si="9"/>
        <v>5</v>
      </c>
    </row>
    <row r="601" spans="1:27" ht="34" customHeight="1">
      <c r="A601" s="3" t="s">
        <v>312</v>
      </c>
      <c r="B601" s="3" t="s">
        <v>1278</v>
      </c>
      <c r="C601" s="3" t="s">
        <v>1279</v>
      </c>
      <c r="D601" s="3" t="s">
        <v>22</v>
      </c>
      <c r="E601" s="3" t="s">
        <v>23</v>
      </c>
      <c r="F601" s="25"/>
      <c r="G601" s="3">
        <v>2</v>
      </c>
      <c r="H601" s="3">
        <v>5</v>
      </c>
      <c r="I601" s="3">
        <v>0</v>
      </c>
      <c r="J601" s="3">
        <v>1</v>
      </c>
      <c r="K601" s="3">
        <v>0</v>
      </c>
      <c r="L601" s="3">
        <v>0</v>
      </c>
      <c r="M601" s="3">
        <v>0</v>
      </c>
      <c r="N601" s="3">
        <v>0</v>
      </c>
      <c r="O601" s="3">
        <v>4</v>
      </c>
      <c r="P601" s="18"/>
      <c r="Q601" s="18"/>
      <c r="R601" s="18"/>
      <c r="S601" s="3"/>
      <c r="T601" s="3">
        <v>0</v>
      </c>
      <c r="U601" s="3">
        <v>-4</v>
      </c>
      <c r="V601" s="3">
        <v>140000</v>
      </c>
      <c r="W601" s="22"/>
      <c r="Z601" s="27">
        <f t="shared" si="9"/>
        <v>0.5</v>
      </c>
    </row>
    <row r="602" spans="1:27" ht="23" customHeight="1">
      <c r="A602" s="3" t="s">
        <v>85</v>
      </c>
      <c r="B602" s="3" t="s">
        <v>1280</v>
      </c>
      <c r="C602" s="3" t="s">
        <v>1281</v>
      </c>
      <c r="D602" s="3" t="s">
        <v>22</v>
      </c>
      <c r="E602" s="3" t="s">
        <v>23</v>
      </c>
      <c r="F602" s="25"/>
      <c r="G602" s="3">
        <v>1</v>
      </c>
      <c r="H602" s="3">
        <v>1</v>
      </c>
      <c r="I602" s="3">
        <v>0</v>
      </c>
      <c r="J602" s="3">
        <v>1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18"/>
      <c r="Q602" s="18"/>
      <c r="R602" s="18"/>
      <c r="S602" s="3"/>
      <c r="T602" s="3"/>
      <c r="U602" s="3"/>
      <c r="V602" s="3">
        <v>0</v>
      </c>
      <c r="W602" s="22"/>
      <c r="Z602" s="27">
        <f t="shared" si="9"/>
        <v>1</v>
      </c>
    </row>
    <row r="603" spans="1:27" ht="23" customHeight="1">
      <c r="A603" s="3" t="s">
        <v>954</v>
      </c>
      <c r="B603" s="3" t="s">
        <v>1282</v>
      </c>
      <c r="C603" s="3" t="s">
        <v>1283</v>
      </c>
      <c r="D603" s="3" t="s">
        <v>22</v>
      </c>
      <c r="E603" s="3" t="s">
        <v>145</v>
      </c>
      <c r="F603" s="25"/>
      <c r="G603" s="3">
        <v>1</v>
      </c>
      <c r="H603" s="3">
        <v>2</v>
      </c>
      <c r="I603" s="3">
        <v>0</v>
      </c>
      <c r="J603" s="3">
        <v>1</v>
      </c>
      <c r="K603" s="3">
        <v>1</v>
      </c>
      <c r="L603" s="3">
        <v>0</v>
      </c>
      <c r="M603" s="3">
        <v>0</v>
      </c>
      <c r="N603" s="3">
        <v>0</v>
      </c>
      <c r="O603" s="3">
        <v>0</v>
      </c>
      <c r="P603" s="18"/>
      <c r="Q603" s="18"/>
      <c r="R603" s="18"/>
      <c r="S603" s="3"/>
      <c r="T603" s="3"/>
      <c r="U603" s="3"/>
      <c r="V603" s="3">
        <v>2368795.9424999999</v>
      </c>
      <c r="W603" s="22"/>
      <c r="Z603" s="27">
        <f t="shared" si="9"/>
        <v>1</v>
      </c>
    </row>
    <row r="604" spans="1:27" ht="23" customHeight="1">
      <c r="A604" s="3" t="s">
        <v>954</v>
      </c>
      <c r="B604" s="3" t="s">
        <v>1284</v>
      </c>
      <c r="C604" s="3" t="s">
        <v>1136</v>
      </c>
      <c r="D604" s="3" t="s">
        <v>22</v>
      </c>
      <c r="E604" s="3" t="s">
        <v>145</v>
      </c>
      <c r="F604" s="25"/>
      <c r="G604" s="3">
        <v>1</v>
      </c>
      <c r="H604" s="3">
        <v>1</v>
      </c>
      <c r="I604" s="3">
        <v>0</v>
      </c>
      <c r="J604" s="3">
        <v>1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18"/>
      <c r="Q604" s="18"/>
      <c r="R604" s="18"/>
      <c r="S604" s="3"/>
      <c r="T604" s="3"/>
      <c r="U604" s="3"/>
      <c r="V604" s="3">
        <v>0</v>
      </c>
      <c r="W604" s="22"/>
      <c r="Z604" s="27">
        <f t="shared" si="9"/>
        <v>1</v>
      </c>
    </row>
    <row r="605" spans="1:27" ht="23" customHeight="1">
      <c r="A605" s="3" t="s">
        <v>45</v>
      </c>
      <c r="B605" s="3" t="s">
        <v>1285</v>
      </c>
      <c r="C605" s="3" t="s">
        <v>1286</v>
      </c>
      <c r="D605" s="3" t="s">
        <v>22</v>
      </c>
      <c r="E605" s="3" t="s">
        <v>23</v>
      </c>
      <c r="F605" s="25"/>
      <c r="G605" s="3">
        <v>1</v>
      </c>
      <c r="H605" s="3">
        <v>2</v>
      </c>
      <c r="I605" s="3">
        <v>0</v>
      </c>
      <c r="J605" s="3">
        <v>2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18"/>
      <c r="Q605" s="18"/>
      <c r="R605" s="18"/>
      <c r="S605" s="3"/>
      <c r="T605" s="3"/>
      <c r="U605" s="3"/>
      <c r="V605" s="3">
        <v>487500</v>
      </c>
      <c r="W605" s="22"/>
      <c r="Z605" s="27">
        <f t="shared" si="9"/>
        <v>2</v>
      </c>
    </row>
    <row r="606" spans="1:27" ht="23" customHeight="1">
      <c r="A606" s="3" t="s">
        <v>1016</v>
      </c>
      <c r="B606" s="3" t="s">
        <v>1287</v>
      </c>
      <c r="C606" s="3" t="s">
        <v>1286</v>
      </c>
      <c r="D606" s="3" t="s">
        <v>22</v>
      </c>
      <c r="E606" s="3" t="s">
        <v>23</v>
      </c>
      <c r="F606" s="25"/>
      <c r="G606" s="3">
        <v>1</v>
      </c>
      <c r="H606" s="3">
        <v>5</v>
      </c>
      <c r="I606" s="3">
        <v>0</v>
      </c>
      <c r="J606" s="3">
        <v>5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18"/>
      <c r="Q606" s="18"/>
      <c r="R606" s="18"/>
      <c r="S606" s="3"/>
      <c r="T606" s="3">
        <v>0</v>
      </c>
      <c r="U606" s="3">
        <v>-3</v>
      </c>
      <c r="V606" s="3">
        <v>370159.56</v>
      </c>
      <c r="W606" s="22"/>
      <c r="Z606" s="27">
        <f t="shared" si="9"/>
        <v>5</v>
      </c>
    </row>
    <row r="607" spans="1:27" ht="23" customHeight="1">
      <c r="A607" s="3" t="s">
        <v>887</v>
      </c>
      <c r="B607" s="3" t="s">
        <v>1288</v>
      </c>
      <c r="C607" s="3" t="s">
        <v>889</v>
      </c>
      <c r="D607" s="3" t="s">
        <v>22</v>
      </c>
      <c r="E607" s="3" t="s">
        <v>145</v>
      </c>
      <c r="F607" s="25"/>
      <c r="G607" s="3">
        <v>11</v>
      </c>
      <c r="H607" s="3">
        <v>43</v>
      </c>
      <c r="I607" s="3">
        <v>0</v>
      </c>
      <c r="J607" s="3">
        <v>33</v>
      </c>
      <c r="K607" s="3">
        <v>5</v>
      </c>
      <c r="L607" s="3">
        <v>0</v>
      </c>
      <c r="M607" s="3">
        <v>0</v>
      </c>
      <c r="N607" s="3">
        <v>0</v>
      </c>
      <c r="O607" s="3">
        <v>5</v>
      </c>
      <c r="P607" s="18"/>
      <c r="Q607" s="18"/>
      <c r="R607" s="18"/>
      <c r="S607" s="3"/>
      <c r="T607" s="3">
        <v>-4</v>
      </c>
      <c r="U607" s="3">
        <v>-70</v>
      </c>
      <c r="V607" s="3"/>
      <c r="W607" s="22"/>
      <c r="Z607" s="27">
        <f t="shared" si="9"/>
        <v>3</v>
      </c>
    </row>
    <row r="608" spans="1:27" ht="23" customHeight="1">
      <c r="A608" s="3" t="s">
        <v>747</v>
      </c>
      <c r="B608" s="3" t="s">
        <v>1289</v>
      </c>
      <c r="C608" s="3" t="s">
        <v>749</v>
      </c>
      <c r="D608" s="3" t="s">
        <v>22</v>
      </c>
      <c r="E608" s="3" t="s">
        <v>23</v>
      </c>
      <c r="F608" s="25"/>
      <c r="G608" s="3">
        <v>1</v>
      </c>
      <c r="H608" s="3">
        <v>2</v>
      </c>
      <c r="I608" s="3">
        <v>0</v>
      </c>
      <c r="J608" s="3">
        <v>2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18"/>
      <c r="Q608" s="18"/>
      <c r="R608" s="18"/>
      <c r="S608" s="3"/>
      <c r="T608" s="3"/>
      <c r="U608" s="3"/>
      <c r="V608" s="3">
        <v>4039498.4249999998</v>
      </c>
      <c r="W608" s="22"/>
      <c r="Z608" s="27">
        <f t="shared" si="9"/>
        <v>2</v>
      </c>
    </row>
    <row r="609" spans="1:26" ht="20" customHeight="1">
      <c r="A609" s="3" t="s">
        <v>1290</v>
      </c>
      <c r="B609" s="3" t="s">
        <v>1291</v>
      </c>
      <c r="C609" s="3" t="s">
        <v>512</v>
      </c>
      <c r="D609" s="3" t="s">
        <v>22</v>
      </c>
      <c r="E609" s="3" t="s">
        <v>23</v>
      </c>
      <c r="F609" s="25"/>
      <c r="G609" s="3">
        <v>1</v>
      </c>
      <c r="H609" s="3">
        <v>4</v>
      </c>
      <c r="I609" s="3">
        <v>0</v>
      </c>
      <c r="J609" s="3">
        <v>2</v>
      </c>
      <c r="K609" s="3">
        <v>0</v>
      </c>
      <c r="L609" s="3">
        <v>0</v>
      </c>
      <c r="M609" s="3">
        <v>0</v>
      </c>
      <c r="N609" s="3">
        <v>0</v>
      </c>
      <c r="O609" s="3">
        <v>2</v>
      </c>
      <c r="P609" s="18"/>
      <c r="Q609" s="18"/>
      <c r="R609" s="18"/>
      <c r="S609" s="3"/>
      <c r="T609" s="3">
        <v>0</v>
      </c>
      <c r="U609" s="3">
        <v>-4</v>
      </c>
      <c r="V609" s="3">
        <v>692767.06</v>
      </c>
      <c r="W609" s="22"/>
      <c r="Z609" s="27">
        <f t="shared" si="9"/>
        <v>2</v>
      </c>
    </row>
    <row r="610" spans="1:26" ht="34" customHeight="1">
      <c r="A610" s="3" t="s">
        <v>395</v>
      </c>
      <c r="B610" s="3" t="s">
        <v>1292</v>
      </c>
      <c r="C610" s="3" t="s">
        <v>1293</v>
      </c>
      <c r="D610" s="3" t="s">
        <v>22</v>
      </c>
      <c r="E610" s="3" t="s">
        <v>145</v>
      </c>
      <c r="F610" s="25" t="s">
        <v>146</v>
      </c>
      <c r="G610" s="3">
        <v>4</v>
      </c>
      <c r="H610" s="3">
        <v>16</v>
      </c>
      <c r="I610" s="3">
        <v>0</v>
      </c>
      <c r="J610" s="3">
        <v>9</v>
      </c>
      <c r="K610" s="3">
        <v>1</v>
      </c>
      <c r="L610" s="3">
        <v>0</v>
      </c>
      <c r="M610" s="3">
        <v>1</v>
      </c>
      <c r="N610" s="3">
        <v>3</v>
      </c>
      <c r="O610" s="3">
        <v>3</v>
      </c>
      <c r="P610" s="18"/>
      <c r="Q610" s="18"/>
      <c r="R610" s="18"/>
      <c r="S610" s="3"/>
      <c r="T610" s="3">
        <v>0</v>
      </c>
      <c r="U610" s="3">
        <v>-10</v>
      </c>
      <c r="V610" s="3"/>
      <c r="W610" s="22"/>
      <c r="Z610" s="27">
        <f t="shared" si="9"/>
        <v>2.25</v>
      </c>
    </row>
    <row r="611" spans="1:26" ht="34" customHeight="1">
      <c r="A611" s="3" t="s">
        <v>75</v>
      </c>
      <c r="B611" s="3" t="s">
        <v>1294</v>
      </c>
      <c r="C611" s="3" t="s">
        <v>1295</v>
      </c>
      <c r="D611" s="3" t="s">
        <v>30</v>
      </c>
      <c r="E611" s="3" t="s">
        <v>23</v>
      </c>
      <c r="F611" s="25"/>
      <c r="G611" s="3">
        <v>2</v>
      </c>
      <c r="H611" s="3">
        <v>5</v>
      </c>
      <c r="I611" s="3">
        <v>0</v>
      </c>
      <c r="J611" s="3">
        <v>5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18"/>
      <c r="Q611" s="18"/>
      <c r="R611" s="18"/>
      <c r="S611" s="3"/>
      <c r="T611" s="3"/>
      <c r="U611" s="3"/>
      <c r="V611" s="3">
        <v>524735.28918780002</v>
      </c>
      <c r="W611" s="22"/>
      <c r="Z611" s="27">
        <f t="shared" si="9"/>
        <v>2.5</v>
      </c>
    </row>
    <row r="612" spans="1:26" ht="23" customHeight="1">
      <c r="A612" s="3" t="s">
        <v>791</v>
      </c>
      <c r="B612" s="3" t="s">
        <v>1296</v>
      </c>
      <c r="C612" s="3" t="s">
        <v>1297</v>
      </c>
      <c r="D612" s="3" t="s">
        <v>22</v>
      </c>
      <c r="E612" s="3" t="s">
        <v>23</v>
      </c>
      <c r="F612" s="25"/>
      <c r="G612" s="3">
        <v>1</v>
      </c>
      <c r="H612" s="3">
        <v>1</v>
      </c>
      <c r="I612" s="3">
        <v>0</v>
      </c>
      <c r="J612" s="3">
        <v>1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18"/>
      <c r="Q612" s="18"/>
      <c r="R612" s="18"/>
      <c r="S612" s="3"/>
      <c r="T612" s="3"/>
      <c r="U612" s="3"/>
      <c r="V612" s="3"/>
      <c r="W612" s="22"/>
      <c r="Z612" s="27">
        <f t="shared" si="9"/>
        <v>1</v>
      </c>
    </row>
    <row r="613" spans="1:26" ht="20" customHeight="1">
      <c r="A613" s="3" t="s">
        <v>386</v>
      </c>
      <c r="B613" s="3" t="s">
        <v>1298</v>
      </c>
      <c r="C613" s="3" t="s">
        <v>1299</v>
      </c>
      <c r="D613" s="3" t="s">
        <v>22</v>
      </c>
      <c r="E613" s="3" t="s">
        <v>23</v>
      </c>
      <c r="F613" s="25"/>
      <c r="G613" s="3">
        <v>1</v>
      </c>
      <c r="H613" s="3">
        <v>2</v>
      </c>
      <c r="I613" s="3">
        <v>0</v>
      </c>
      <c r="J613" s="3">
        <v>2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18"/>
      <c r="Q613" s="18"/>
      <c r="R613" s="18"/>
      <c r="S613" s="3"/>
      <c r="T613" s="3">
        <v>0</v>
      </c>
      <c r="U613" s="3">
        <v>-1</v>
      </c>
      <c r="V613" s="3"/>
      <c r="W613" s="22"/>
      <c r="Z613" s="27">
        <f t="shared" si="9"/>
        <v>2</v>
      </c>
    </row>
    <row r="614" spans="1:26" ht="23" customHeight="1">
      <c r="A614" s="3" t="s">
        <v>793</v>
      </c>
      <c r="B614" s="3" t="s">
        <v>1300</v>
      </c>
      <c r="C614" s="3" t="s">
        <v>1301</v>
      </c>
      <c r="D614" s="3" t="s">
        <v>22</v>
      </c>
      <c r="E614" s="3" t="s">
        <v>23</v>
      </c>
      <c r="F614" s="25"/>
      <c r="G614" s="3">
        <v>1</v>
      </c>
      <c r="H614" s="3">
        <v>3</v>
      </c>
      <c r="I614" s="3">
        <v>0</v>
      </c>
      <c r="J614" s="3">
        <v>3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18"/>
      <c r="Q614" s="18"/>
      <c r="R614" s="18"/>
      <c r="S614" s="3"/>
      <c r="T614" s="3"/>
      <c r="U614" s="3"/>
      <c r="V614" s="3"/>
      <c r="W614" s="22"/>
      <c r="Z614" s="27">
        <f t="shared" si="9"/>
        <v>3</v>
      </c>
    </row>
    <row r="615" spans="1:26" ht="23" customHeight="1">
      <c r="A615" s="3" t="s">
        <v>469</v>
      </c>
      <c r="B615" s="3" t="s">
        <v>1302</v>
      </c>
      <c r="C615" s="3" t="s">
        <v>1303</v>
      </c>
      <c r="D615" s="3" t="s">
        <v>22</v>
      </c>
      <c r="E615" s="3" t="s">
        <v>23</v>
      </c>
      <c r="F615" s="25"/>
      <c r="G615" s="3">
        <v>1</v>
      </c>
      <c r="H615" s="3">
        <v>2</v>
      </c>
      <c r="I615" s="3">
        <v>0</v>
      </c>
      <c r="J615" s="3">
        <v>2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18"/>
      <c r="Q615" s="18"/>
      <c r="R615" s="18"/>
      <c r="S615" s="3"/>
      <c r="T615" s="3"/>
      <c r="U615" s="3"/>
      <c r="V615" s="3">
        <v>130640.35</v>
      </c>
      <c r="W615" s="22"/>
      <c r="Z615" s="27">
        <f t="shared" si="9"/>
        <v>2</v>
      </c>
    </row>
    <row r="616" spans="1:26" ht="23" customHeight="1">
      <c r="A616" s="3" t="s">
        <v>171</v>
      </c>
      <c r="B616" s="3" t="s">
        <v>1304</v>
      </c>
      <c r="C616" s="3" t="s">
        <v>1305</v>
      </c>
      <c r="D616" s="3" t="s">
        <v>22</v>
      </c>
      <c r="E616" s="3" t="s">
        <v>23</v>
      </c>
      <c r="F616" s="25"/>
      <c r="G616" s="3">
        <v>1</v>
      </c>
      <c r="H616" s="3">
        <v>1</v>
      </c>
      <c r="I616" s="3">
        <v>0</v>
      </c>
      <c r="J616" s="3">
        <v>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18"/>
      <c r="Q616" s="18"/>
      <c r="R616" s="18"/>
      <c r="S616" s="3"/>
      <c r="T616" s="3"/>
      <c r="U616" s="3"/>
      <c r="V616" s="3"/>
      <c r="W616" s="22"/>
      <c r="Z616" s="27">
        <f t="shared" si="9"/>
        <v>1</v>
      </c>
    </row>
    <row r="617" spans="1:26" ht="23" customHeight="1">
      <c r="A617" s="3" t="s">
        <v>1306</v>
      </c>
      <c r="B617" s="3" t="s">
        <v>1307</v>
      </c>
      <c r="C617" s="3" t="s">
        <v>1308</v>
      </c>
      <c r="D617" s="3" t="s">
        <v>22</v>
      </c>
      <c r="E617" s="3" t="s">
        <v>23</v>
      </c>
      <c r="F617" s="25"/>
      <c r="G617" s="3">
        <v>1</v>
      </c>
      <c r="H617" s="3">
        <v>1</v>
      </c>
      <c r="I617" s="3">
        <v>0</v>
      </c>
      <c r="J617" s="3">
        <v>1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18"/>
      <c r="Q617" s="18"/>
      <c r="R617" s="18"/>
      <c r="S617" s="3"/>
      <c r="T617" s="3"/>
      <c r="U617" s="3"/>
      <c r="V617" s="3"/>
      <c r="W617" s="22"/>
      <c r="Z617" s="27">
        <f t="shared" si="9"/>
        <v>1</v>
      </c>
    </row>
    <row r="618" spans="1:26" ht="20" customHeight="1">
      <c r="A618" s="3" t="s">
        <v>1309</v>
      </c>
      <c r="B618" s="3" t="s">
        <v>1310</v>
      </c>
      <c r="C618" s="3" t="s">
        <v>1311</v>
      </c>
      <c r="D618" s="3" t="s">
        <v>30</v>
      </c>
      <c r="E618" s="3" t="s">
        <v>23</v>
      </c>
      <c r="F618" s="25"/>
      <c r="G618" s="3">
        <v>4</v>
      </c>
      <c r="H618" s="3">
        <v>14</v>
      </c>
      <c r="I618" s="3">
        <v>0</v>
      </c>
      <c r="J618" s="3">
        <v>10</v>
      </c>
      <c r="K618" s="3">
        <v>0</v>
      </c>
      <c r="L618" s="3">
        <v>0</v>
      </c>
      <c r="M618" s="3">
        <v>0</v>
      </c>
      <c r="N618" s="3">
        <v>0</v>
      </c>
      <c r="O618" s="3">
        <v>4</v>
      </c>
      <c r="P618" s="18"/>
      <c r="Q618" s="18"/>
      <c r="R618" s="18"/>
      <c r="S618" s="3"/>
      <c r="T618" s="3">
        <v>0</v>
      </c>
      <c r="U618" s="3">
        <v>-13</v>
      </c>
      <c r="V618" s="3"/>
      <c r="W618" s="22"/>
      <c r="Z618" s="27">
        <f t="shared" si="9"/>
        <v>2.5</v>
      </c>
    </row>
    <row r="619" spans="1:26" ht="20" customHeight="1">
      <c r="A619" s="3" t="s">
        <v>1306</v>
      </c>
      <c r="B619" s="3" t="s">
        <v>1312</v>
      </c>
      <c r="C619" s="3" t="s">
        <v>1313</v>
      </c>
      <c r="D619" s="3" t="s">
        <v>22</v>
      </c>
      <c r="E619" s="3" t="s">
        <v>23</v>
      </c>
      <c r="F619" s="25"/>
      <c r="G619" s="3">
        <v>1</v>
      </c>
      <c r="H619" s="3">
        <v>1</v>
      </c>
      <c r="I619" s="3">
        <v>0</v>
      </c>
      <c r="J619" s="3">
        <v>1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18"/>
      <c r="Q619" s="18"/>
      <c r="R619" s="18"/>
      <c r="S619" s="3"/>
      <c r="T619" s="3"/>
      <c r="U619" s="3"/>
      <c r="V619" s="3"/>
      <c r="W619" s="22"/>
      <c r="Z619" s="27">
        <f t="shared" si="9"/>
        <v>1</v>
      </c>
    </row>
    <row r="620" spans="1:26" ht="20" customHeight="1">
      <c r="A620" s="3" t="s">
        <v>1306</v>
      </c>
      <c r="B620" s="3" t="s">
        <v>1314</v>
      </c>
      <c r="C620" s="3" t="s">
        <v>1313</v>
      </c>
      <c r="D620" s="3" t="s">
        <v>30</v>
      </c>
      <c r="E620" s="3" t="s">
        <v>23</v>
      </c>
      <c r="F620" s="25"/>
      <c r="G620" s="3">
        <v>2</v>
      </c>
      <c r="H620" s="3">
        <v>5</v>
      </c>
      <c r="I620" s="3">
        <v>0</v>
      </c>
      <c r="J620" s="3">
        <v>1</v>
      </c>
      <c r="K620" s="3">
        <v>0</v>
      </c>
      <c r="L620" s="3">
        <v>0</v>
      </c>
      <c r="M620" s="3">
        <v>0</v>
      </c>
      <c r="N620" s="3">
        <v>4</v>
      </c>
      <c r="O620" s="3">
        <v>0</v>
      </c>
      <c r="P620" s="18"/>
      <c r="Q620" s="18"/>
      <c r="R620" s="18"/>
      <c r="S620" s="3"/>
      <c r="T620" s="3"/>
      <c r="U620" s="3"/>
      <c r="V620" s="3">
        <v>231350.77</v>
      </c>
      <c r="W620" s="22"/>
      <c r="Z620" s="27">
        <f t="shared" si="9"/>
        <v>0.5</v>
      </c>
    </row>
    <row r="621" spans="1:26" ht="20" customHeight="1">
      <c r="A621" s="3" t="s">
        <v>437</v>
      </c>
      <c r="B621" s="3" t="s">
        <v>1315</v>
      </c>
      <c r="C621" s="3" t="s">
        <v>1316</v>
      </c>
      <c r="D621" s="3" t="s">
        <v>30</v>
      </c>
      <c r="E621" s="3" t="s">
        <v>465</v>
      </c>
      <c r="F621" s="25"/>
      <c r="G621" s="3">
        <v>1</v>
      </c>
      <c r="H621" s="3">
        <v>1</v>
      </c>
      <c r="I621" s="3">
        <v>0</v>
      </c>
      <c r="J621" s="3">
        <v>1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18"/>
      <c r="Q621" s="18"/>
      <c r="R621" s="18"/>
      <c r="S621" s="3"/>
      <c r="T621" s="3"/>
      <c r="U621" s="3"/>
      <c r="V621" s="3">
        <v>0</v>
      </c>
      <c r="W621" s="22"/>
      <c r="Z621" s="27">
        <f t="shared" si="9"/>
        <v>1</v>
      </c>
    </row>
    <row r="622" spans="1:26" ht="20" customHeight="1">
      <c r="A622" s="3" t="s">
        <v>575</v>
      </c>
      <c r="B622" s="3" t="s">
        <v>1317</v>
      </c>
      <c r="C622" s="3" t="s">
        <v>1318</v>
      </c>
      <c r="D622" s="3" t="s">
        <v>22</v>
      </c>
      <c r="E622" s="3" t="s">
        <v>23</v>
      </c>
      <c r="F622" s="25"/>
      <c r="G622" s="3">
        <v>1</v>
      </c>
      <c r="H622" s="3">
        <v>2</v>
      </c>
      <c r="I622" s="3">
        <v>0</v>
      </c>
      <c r="J622" s="3">
        <v>1</v>
      </c>
      <c r="K622" s="3">
        <v>0</v>
      </c>
      <c r="L622" s="3">
        <v>0</v>
      </c>
      <c r="M622" s="3">
        <v>0</v>
      </c>
      <c r="N622" s="3">
        <v>0</v>
      </c>
      <c r="O622" s="3">
        <v>1</v>
      </c>
      <c r="P622" s="18"/>
      <c r="Q622" s="18"/>
      <c r="R622" s="18"/>
      <c r="S622" s="3"/>
      <c r="T622" s="3">
        <v>0</v>
      </c>
      <c r="U622" s="3">
        <v>-1</v>
      </c>
      <c r="V622" s="3"/>
      <c r="W622" s="22"/>
      <c r="Z622" s="27">
        <f t="shared" si="9"/>
        <v>1</v>
      </c>
    </row>
    <row r="623" spans="1:26" ht="34" customHeight="1">
      <c r="A623" s="3" t="s">
        <v>1319</v>
      </c>
      <c r="B623" s="3" t="s">
        <v>1320</v>
      </c>
      <c r="C623" s="3" t="s">
        <v>1321</v>
      </c>
      <c r="D623" s="3" t="s">
        <v>22</v>
      </c>
      <c r="E623" s="3" t="s">
        <v>23</v>
      </c>
      <c r="F623" s="25"/>
      <c r="G623" s="3">
        <v>1</v>
      </c>
      <c r="H623" s="3">
        <v>1</v>
      </c>
      <c r="I623" s="3">
        <v>0</v>
      </c>
      <c r="J623" s="3">
        <v>1</v>
      </c>
      <c r="K623" s="3">
        <v>0</v>
      </c>
      <c r="L623" s="3">
        <v>0</v>
      </c>
      <c r="M623" s="3">
        <v>1</v>
      </c>
      <c r="N623" s="3">
        <v>0</v>
      </c>
      <c r="O623" s="3">
        <v>0</v>
      </c>
      <c r="P623" s="18"/>
      <c r="Q623" s="18"/>
      <c r="R623" s="18"/>
      <c r="S623" s="3"/>
      <c r="T623" s="3"/>
      <c r="U623" s="3"/>
      <c r="V623" s="3">
        <v>0</v>
      </c>
      <c r="W623" s="22"/>
      <c r="Z623" s="27">
        <f t="shared" si="9"/>
        <v>1</v>
      </c>
    </row>
    <row r="624" spans="1:26" ht="20" customHeight="1">
      <c r="A624" s="3" t="s">
        <v>1322</v>
      </c>
      <c r="B624" s="3" t="s">
        <v>1323</v>
      </c>
      <c r="C624" s="3" t="s">
        <v>1324</v>
      </c>
      <c r="D624" s="3" t="s">
        <v>30</v>
      </c>
      <c r="E624" s="3" t="s">
        <v>23</v>
      </c>
      <c r="F624" s="25"/>
      <c r="G624" s="3">
        <v>4</v>
      </c>
      <c r="H624" s="3">
        <v>13</v>
      </c>
      <c r="I624" s="3">
        <v>0</v>
      </c>
      <c r="J624" s="3">
        <v>1</v>
      </c>
      <c r="K624" s="3">
        <v>0</v>
      </c>
      <c r="L624" s="3">
        <v>0</v>
      </c>
      <c r="M624" s="3">
        <v>0</v>
      </c>
      <c r="N624" s="3">
        <v>0</v>
      </c>
      <c r="O624" s="3">
        <v>12</v>
      </c>
      <c r="P624" s="18"/>
      <c r="Q624" s="18"/>
      <c r="R624" s="18"/>
      <c r="S624" s="3"/>
      <c r="T624" s="3">
        <v>-9</v>
      </c>
      <c r="U624" s="3">
        <v>-43</v>
      </c>
      <c r="V624" s="3"/>
      <c r="W624" s="22"/>
      <c r="Z624" s="27">
        <f t="shared" si="9"/>
        <v>0.25</v>
      </c>
    </row>
    <row r="625" spans="1:26" ht="23" customHeight="1">
      <c r="A625" s="3" t="s">
        <v>1325</v>
      </c>
      <c r="B625" s="3" t="s">
        <v>1326</v>
      </c>
      <c r="C625" s="3" t="s">
        <v>1327</v>
      </c>
      <c r="D625" s="3" t="s">
        <v>30</v>
      </c>
      <c r="E625" s="3" t="s">
        <v>23</v>
      </c>
      <c r="F625" s="25"/>
      <c r="G625" s="3">
        <v>6</v>
      </c>
      <c r="H625" s="3">
        <v>20</v>
      </c>
      <c r="I625" s="3">
        <v>0</v>
      </c>
      <c r="J625" s="3">
        <v>15</v>
      </c>
      <c r="K625" s="3">
        <v>0</v>
      </c>
      <c r="L625" s="3">
        <v>0</v>
      </c>
      <c r="M625" s="3">
        <v>0</v>
      </c>
      <c r="N625" s="3">
        <v>0</v>
      </c>
      <c r="O625" s="3">
        <v>5</v>
      </c>
      <c r="P625" s="18"/>
      <c r="Q625" s="18"/>
      <c r="R625" s="18"/>
      <c r="S625" s="3"/>
      <c r="T625" s="3">
        <v>-2</v>
      </c>
      <c r="U625" s="3">
        <v>-11</v>
      </c>
      <c r="V625" s="3">
        <v>134729.99949473684</v>
      </c>
      <c r="W625" s="22"/>
      <c r="Z625" s="27">
        <f t="shared" si="9"/>
        <v>2.5</v>
      </c>
    </row>
    <row r="626" spans="1:26" ht="23" customHeight="1">
      <c r="A626" s="3" t="s">
        <v>1325</v>
      </c>
      <c r="B626" s="3" t="s">
        <v>1328</v>
      </c>
      <c r="C626" s="3" t="s">
        <v>1329</v>
      </c>
      <c r="D626" s="3" t="s">
        <v>30</v>
      </c>
      <c r="E626" s="3" t="s">
        <v>23</v>
      </c>
      <c r="F626" s="25"/>
      <c r="G626" s="3">
        <v>10</v>
      </c>
      <c r="H626" s="3">
        <v>16</v>
      </c>
      <c r="I626" s="3">
        <v>0</v>
      </c>
      <c r="J626" s="3">
        <v>3</v>
      </c>
      <c r="K626" s="3">
        <v>0</v>
      </c>
      <c r="L626" s="3">
        <v>0</v>
      </c>
      <c r="M626" s="3">
        <v>0</v>
      </c>
      <c r="N626" s="3">
        <v>0</v>
      </c>
      <c r="O626" s="3">
        <v>13</v>
      </c>
      <c r="P626" s="18"/>
      <c r="Q626" s="18"/>
      <c r="R626" s="18"/>
      <c r="S626" s="3"/>
      <c r="T626" s="3">
        <v>-8</v>
      </c>
      <c r="U626" s="3">
        <v>-48</v>
      </c>
      <c r="V626" s="3">
        <v>12600</v>
      </c>
      <c r="W626" s="22"/>
      <c r="Z626" s="27">
        <f t="shared" si="9"/>
        <v>0.3</v>
      </c>
    </row>
    <row r="627" spans="1:26" ht="23" customHeight="1">
      <c r="A627" s="3" t="s">
        <v>1330</v>
      </c>
      <c r="B627" s="3" t="s">
        <v>1331</v>
      </c>
      <c r="C627" s="3" t="s">
        <v>1332</v>
      </c>
      <c r="D627" s="3" t="s">
        <v>30</v>
      </c>
      <c r="E627" s="3" t="s">
        <v>23</v>
      </c>
      <c r="F627" s="25"/>
      <c r="G627" s="3">
        <v>6</v>
      </c>
      <c r="H627" s="3">
        <v>12</v>
      </c>
      <c r="I627" s="3">
        <v>0</v>
      </c>
      <c r="J627" s="3">
        <v>7</v>
      </c>
      <c r="K627" s="3">
        <v>0</v>
      </c>
      <c r="L627" s="3">
        <v>0</v>
      </c>
      <c r="M627" s="3">
        <v>1</v>
      </c>
      <c r="N627" s="3">
        <v>0</v>
      </c>
      <c r="O627" s="3">
        <v>5</v>
      </c>
      <c r="P627" s="18"/>
      <c r="Q627" s="18"/>
      <c r="R627" s="18"/>
      <c r="S627" s="3"/>
      <c r="T627" s="3">
        <v>-4</v>
      </c>
      <c r="U627" s="3">
        <v>-20</v>
      </c>
      <c r="V627" s="3">
        <v>0</v>
      </c>
      <c r="W627" s="22"/>
      <c r="Z627" s="27">
        <f t="shared" si="9"/>
        <v>1.1666666666666667</v>
      </c>
    </row>
    <row r="628" spans="1:26" ht="20" customHeight="1">
      <c r="A628" s="3" t="s">
        <v>1325</v>
      </c>
      <c r="B628" s="3" t="s">
        <v>1333</v>
      </c>
      <c r="C628" s="3" t="s">
        <v>1334</v>
      </c>
      <c r="D628" s="3" t="s">
        <v>30</v>
      </c>
      <c r="E628" s="3" t="s">
        <v>23</v>
      </c>
      <c r="F628" s="25"/>
      <c r="G628" s="3">
        <v>6</v>
      </c>
      <c r="H628" s="3">
        <v>8</v>
      </c>
      <c r="I628" s="3">
        <v>0</v>
      </c>
      <c r="J628" s="3">
        <v>6</v>
      </c>
      <c r="K628" s="3">
        <v>0</v>
      </c>
      <c r="L628" s="3">
        <v>0</v>
      </c>
      <c r="M628" s="3">
        <v>0</v>
      </c>
      <c r="N628" s="3">
        <v>0</v>
      </c>
      <c r="O628" s="3">
        <v>2</v>
      </c>
      <c r="P628" s="18"/>
      <c r="Q628" s="18"/>
      <c r="R628" s="18"/>
      <c r="S628" s="3"/>
      <c r="T628" s="3">
        <v>-3</v>
      </c>
      <c r="U628" s="3">
        <v>-12</v>
      </c>
      <c r="V628" s="3">
        <v>3519.5</v>
      </c>
      <c r="W628" s="22"/>
      <c r="Z628" s="27">
        <f t="shared" si="9"/>
        <v>1</v>
      </c>
    </row>
    <row r="629" spans="1:26" ht="23" customHeight="1">
      <c r="A629" s="3" t="s">
        <v>1330</v>
      </c>
      <c r="B629" s="3" t="s">
        <v>1335</v>
      </c>
      <c r="C629" s="3" t="s">
        <v>1336</v>
      </c>
      <c r="D629" s="3" t="s">
        <v>30</v>
      </c>
      <c r="E629" s="3" t="s">
        <v>23</v>
      </c>
      <c r="F629" s="25"/>
      <c r="G629" s="3">
        <v>2</v>
      </c>
      <c r="H629" s="3">
        <v>4</v>
      </c>
      <c r="I629" s="3">
        <v>0</v>
      </c>
      <c r="J629" s="3">
        <v>2</v>
      </c>
      <c r="K629" s="3">
        <v>0</v>
      </c>
      <c r="L629" s="3">
        <v>0</v>
      </c>
      <c r="M629" s="3">
        <v>0</v>
      </c>
      <c r="N629" s="3">
        <v>0</v>
      </c>
      <c r="O629" s="3">
        <v>2</v>
      </c>
      <c r="P629" s="18"/>
      <c r="Q629" s="18"/>
      <c r="R629" s="18"/>
      <c r="S629" s="3"/>
      <c r="T629" s="3">
        <v>-3</v>
      </c>
      <c r="U629" s="3">
        <v>-11</v>
      </c>
      <c r="V629" s="3"/>
      <c r="W629" s="22"/>
      <c r="Z629" s="27">
        <f t="shared" si="9"/>
        <v>1</v>
      </c>
    </row>
    <row r="630" spans="1:26" ht="23" customHeight="1">
      <c r="A630" s="3" t="s">
        <v>1330</v>
      </c>
      <c r="B630" s="3" t="s">
        <v>1337</v>
      </c>
      <c r="C630" s="3" t="s">
        <v>1338</v>
      </c>
      <c r="D630" s="3" t="s">
        <v>30</v>
      </c>
      <c r="E630" s="3" t="s">
        <v>23</v>
      </c>
      <c r="F630" s="25"/>
      <c r="G630" s="3">
        <v>2</v>
      </c>
      <c r="H630" s="3">
        <v>7</v>
      </c>
      <c r="I630" s="3">
        <v>0</v>
      </c>
      <c r="J630" s="3">
        <v>4</v>
      </c>
      <c r="K630" s="3">
        <v>0</v>
      </c>
      <c r="L630" s="3">
        <v>0</v>
      </c>
      <c r="M630" s="3">
        <v>0</v>
      </c>
      <c r="N630" s="3">
        <v>0</v>
      </c>
      <c r="O630" s="3">
        <v>3</v>
      </c>
      <c r="P630" s="18"/>
      <c r="Q630" s="18"/>
      <c r="R630" s="18"/>
      <c r="S630" s="3"/>
      <c r="T630" s="3">
        <v>-4</v>
      </c>
      <c r="U630" s="3">
        <v>-16</v>
      </c>
      <c r="V630" s="3">
        <v>67660.371385700011</v>
      </c>
      <c r="W630" s="22"/>
      <c r="Z630" s="27">
        <f t="shared" si="9"/>
        <v>2</v>
      </c>
    </row>
    <row r="631" spans="1:26" ht="23" customHeight="1">
      <c r="A631" s="3" t="s">
        <v>1330</v>
      </c>
      <c r="B631" s="3" t="s">
        <v>1339</v>
      </c>
      <c r="C631" s="3" t="s">
        <v>1340</v>
      </c>
      <c r="D631" s="3" t="s">
        <v>30</v>
      </c>
      <c r="E631" s="3" t="s">
        <v>23</v>
      </c>
      <c r="F631" s="25"/>
      <c r="G631" s="3">
        <v>6</v>
      </c>
      <c r="H631" s="3">
        <v>9</v>
      </c>
      <c r="I631" s="3">
        <v>0</v>
      </c>
      <c r="J631" s="3">
        <v>2</v>
      </c>
      <c r="K631" s="3">
        <v>0</v>
      </c>
      <c r="L631" s="3">
        <v>0</v>
      </c>
      <c r="M631" s="3">
        <v>0</v>
      </c>
      <c r="N631" s="3">
        <v>0</v>
      </c>
      <c r="O631" s="3">
        <v>7</v>
      </c>
      <c r="P631" s="18"/>
      <c r="Q631" s="18"/>
      <c r="R631" s="18"/>
      <c r="S631" s="3"/>
      <c r="T631" s="3">
        <v>-3</v>
      </c>
      <c r="U631" s="3">
        <v>-13</v>
      </c>
      <c r="V631" s="3">
        <v>81782.299706601567</v>
      </c>
      <c r="W631" s="22"/>
      <c r="Z631" s="27">
        <f t="shared" si="9"/>
        <v>0.33333333333333331</v>
      </c>
    </row>
    <row r="632" spans="1:26" ht="23" customHeight="1">
      <c r="A632" s="3" t="s">
        <v>1330</v>
      </c>
      <c r="B632" s="3" t="s">
        <v>1341</v>
      </c>
      <c r="C632" s="3" t="s">
        <v>1342</v>
      </c>
      <c r="D632" s="3" t="s">
        <v>30</v>
      </c>
      <c r="E632" s="3" t="s">
        <v>23</v>
      </c>
      <c r="F632" s="25"/>
      <c r="G632" s="3">
        <v>6</v>
      </c>
      <c r="H632" s="3">
        <v>16</v>
      </c>
      <c r="I632" s="3">
        <v>0</v>
      </c>
      <c r="J632" s="3">
        <v>16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18"/>
      <c r="Q632" s="18"/>
      <c r="R632" s="18"/>
      <c r="S632" s="3"/>
      <c r="T632" s="3">
        <v>0</v>
      </c>
      <c r="U632" s="3">
        <v>-1</v>
      </c>
      <c r="V632" s="3">
        <v>0</v>
      </c>
      <c r="W632" s="22"/>
      <c r="Z632" s="27">
        <f t="shared" si="9"/>
        <v>2.6666666666666665</v>
      </c>
    </row>
    <row r="633" spans="1:26" ht="20" customHeight="1">
      <c r="A633" s="3" t="s">
        <v>1330</v>
      </c>
      <c r="B633" s="3" t="s">
        <v>1343</v>
      </c>
      <c r="C633" s="3" t="s">
        <v>1344</v>
      </c>
      <c r="D633" s="3" t="s">
        <v>30</v>
      </c>
      <c r="E633" s="3" t="s">
        <v>23</v>
      </c>
      <c r="F633" s="25"/>
      <c r="G633" s="3">
        <v>1</v>
      </c>
      <c r="H633" s="3">
        <v>1</v>
      </c>
      <c r="I633" s="3">
        <v>0</v>
      </c>
      <c r="J633" s="3">
        <v>1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18"/>
      <c r="Q633" s="18"/>
      <c r="R633" s="18"/>
      <c r="S633" s="3"/>
      <c r="T633" s="3">
        <v>-1</v>
      </c>
      <c r="U633" s="3">
        <v>-1</v>
      </c>
      <c r="V633" s="3">
        <v>0</v>
      </c>
      <c r="W633" s="22"/>
      <c r="Z633" s="27">
        <f t="shared" si="9"/>
        <v>1</v>
      </c>
    </row>
    <row r="634" spans="1:26" ht="23" customHeight="1">
      <c r="A634" s="3" t="s">
        <v>121</v>
      </c>
      <c r="B634" s="3" t="s">
        <v>1345</v>
      </c>
      <c r="C634" s="3" t="s">
        <v>1346</v>
      </c>
      <c r="D634" s="3" t="s">
        <v>22</v>
      </c>
      <c r="E634" s="3" t="s">
        <v>23</v>
      </c>
      <c r="F634" s="25"/>
      <c r="G634" s="3">
        <v>1</v>
      </c>
      <c r="H634" s="3">
        <v>1</v>
      </c>
      <c r="I634" s="3">
        <v>0</v>
      </c>
      <c r="J634" s="3">
        <v>1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18"/>
      <c r="Q634" s="18"/>
      <c r="R634" s="18"/>
      <c r="S634" s="3"/>
      <c r="T634" s="3"/>
      <c r="U634" s="3"/>
      <c r="V634" s="3">
        <v>351683.51909999998</v>
      </c>
      <c r="W634" s="22"/>
      <c r="Z634" s="27">
        <f t="shared" si="9"/>
        <v>1</v>
      </c>
    </row>
    <row r="635" spans="1:26" ht="20" customHeight="1">
      <c r="A635" s="3" t="s">
        <v>437</v>
      </c>
      <c r="B635" s="3" t="s">
        <v>1347</v>
      </c>
      <c r="C635" s="3" t="s">
        <v>902</v>
      </c>
      <c r="D635" s="3" t="s">
        <v>30</v>
      </c>
      <c r="E635" s="3" t="s">
        <v>465</v>
      </c>
      <c r="F635" s="25"/>
      <c r="G635" s="3">
        <v>1</v>
      </c>
      <c r="H635" s="3">
        <v>1</v>
      </c>
      <c r="I635" s="3">
        <v>0</v>
      </c>
      <c r="J635" s="3">
        <v>1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18"/>
      <c r="Q635" s="18"/>
      <c r="R635" s="18"/>
      <c r="S635" s="3"/>
      <c r="T635" s="3"/>
      <c r="U635" s="3"/>
      <c r="V635" s="3">
        <v>0</v>
      </c>
      <c r="W635" s="22"/>
      <c r="Z635" s="27">
        <f t="shared" si="9"/>
        <v>1</v>
      </c>
    </row>
    <row r="636" spans="1:26" ht="23" customHeight="1">
      <c r="A636" s="3" t="s">
        <v>121</v>
      </c>
      <c r="B636" s="3" t="s">
        <v>1348</v>
      </c>
      <c r="C636" s="3" t="s">
        <v>1349</v>
      </c>
      <c r="D636" s="3" t="s">
        <v>30</v>
      </c>
      <c r="E636" s="3" t="s">
        <v>23</v>
      </c>
      <c r="F636" s="25"/>
      <c r="G636" s="3">
        <v>1</v>
      </c>
      <c r="H636" s="3">
        <v>1</v>
      </c>
      <c r="I636" s="3">
        <v>0</v>
      </c>
      <c r="J636" s="3">
        <v>1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18"/>
      <c r="Q636" s="18"/>
      <c r="R636" s="18"/>
      <c r="S636" s="3"/>
      <c r="T636" s="3"/>
      <c r="U636" s="3"/>
      <c r="V636" s="3">
        <v>0</v>
      </c>
      <c r="W636" s="22"/>
      <c r="Z636" s="27">
        <f t="shared" si="9"/>
        <v>1</v>
      </c>
    </row>
    <row r="637" spans="1:26" ht="23" customHeight="1">
      <c r="A637" s="3" t="s">
        <v>27</v>
      </c>
      <c r="B637" s="3" t="s">
        <v>1350</v>
      </c>
      <c r="C637" s="3" t="s">
        <v>1351</v>
      </c>
      <c r="D637" s="3" t="s">
        <v>22</v>
      </c>
      <c r="E637" s="3" t="s">
        <v>23</v>
      </c>
      <c r="F637" s="25"/>
      <c r="G637" s="3">
        <v>1</v>
      </c>
      <c r="H637" s="3">
        <v>12</v>
      </c>
      <c r="I637" s="3">
        <v>0</v>
      </c>
      <c r="J637" s="3">
        <v>9</v>
      </c>
      <c r="K637" s="3">
        <v>0</v>
      </c>
      <c r="L637" s="3">
        <v>0</v>
      </c>
      <c r="M637" s="3">
        <v>0</v>
      </c>
      <c r="N637" s="3">
        <v>0</v>
      </c>
      <c r="O637" s="3">
        <v>3</v>
      </c>
      <c r="P637" s="18"/>
      <c r="Q637" s="18"/>
      <c r="R637" s="18"/>
      <c r="S637" s="3"/>
      <c r="T637" s="3">
        <v>0</v>
      </c>
      <c r="U637" s="3">
        <v>-13</v>
      </c>
      <c r="V637" s="3"/>
      <c r="W637" s="22"/>
      <c r="Z637" s="27">
        <f t="shared" si="9"/>
        <v>9</v>
      </c>
    </row>
    <row r="638" spans="1:26" ht="23" customHeight="1">
      <c r="A638" s="3" t="s">
        <v>27</v>
      </c>
      <c r="B638" s="3" t="s">
        <v>1352</v>
      </c>
      <c r="C638" s="3" t="s">
        <v>1353</v>
      </c>
      <c r="D638" s="3" t="s">
        <v>22</v>
      </c>
      <c r="E638" s="3" t="s">
        <v>23</v>
      </c>
      <c r="F638" s="25"/>
      <c r="G638" s="3">
        <v>8</v>
      </c>
      <c r="H638" s="3">
        <v>9</v>
      </c>
      <c r="I638" s="3">
        <v>0</v>
      </c>
      <c r="J638" s="3">
        <v>5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18"/>
      <c r="Q638" s="18"/>
      <c r="R638" s="18"/>
      <c r="S638" s="3"/>
      <c r="T638" s="3">
        <v>-1</v>
      </c>
      <c r="U638" s="3">
        <v>-19</v>
      </c>
      <c r="V638" s="3"/>
      <c r="W638" s="22"/>
      <c r="Z638" s="27">
        <f t="shared" si="9"/>
        <v>0.625</v>
      </c>
    </row>
    <row r="639" spans="1:26" ht="20" customHeight="1">
      <c r="A639" s="3" t="s">
        <v>194</v>
      </c>
      <c r="B639" s="3" t="s">
        <v>1354</v>
      </c>
      <c r="C639" s="3" t="s">
        <v>1355</v>
      </c>
      <c r="D639" s="3" t="s">
        <v>22</v>
      </c>
      <c r="E639" s="3" t="s">
        <v>23</v>
      </c>
      <c r="F639" s="25"/>
      <c r="G639" s="3">
        <v>3</v>
      </c>
      <c r="H639" s="3">
        <v>12</v>
      </c>
      <c r="I639" s="3">
        <v>0</v>
      </c>
      <c r="J639" s="3">
        <v>6</v>
      </c>
      <c r="K639" s="3">
        <v>0</v>
      </c>
      <c r="L639" s="3">
        <v>0</v>
      </c>
      <c r="M639" s="3">
        <v>0</v>
      </c>
      <c r="N639" s="3">
        <v>1</v>
      </c>
      <c r="O639" s="3">
        <v>5</v>
      </c>
      <c r="P639" s="18"/>
      <c r="Q639" s="18"/>
      <c r="R639" s="18"/>
      <c r="S639" s="3"/>
      <c r="T639" s="3">
        <v>-5</v>
      </c>
      <c r="U639" s="3">
        <v>-18</v>
      </c>
      <c r="V639" s="3"/>
      <c r="W639" s="22"/>
      <c r="Z639" s="27">
        <f t="shared" si="9"/>
        <v>2</v>
      </c>
    </row>
    <row r="640" spans="1:26" ht="23" customHeight="1">
      <c r="A640" s="3" t="s">
        <v>152</v>
      </c>
      <c r="B640" s="3" t="s">
        <v>1356</v>
      </c>
      <c r="C640" s="3" t="s">
        <v>1357</v>
      </c>
      <c r="D640" s="3" t="s">
        <v>30</v>
      </c>
      <c r="E640" s="3" t="s">
        <v>23</v>
      </c>
      <c r="F640" s="25"/>
      <c r="G640" s="3">
        <v>2</v>
      </c>
      <c r="H640" s="3">
        <v>2</v>
      </c>
      <c r="I640" s="3">
        <v>0</v>
      </c>
      <c r="J640" s="3">
        <v>2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18"/>
      <c r="Q640" s="18"/>
      <c r="R640" s="18"/>
      <c r="S640" s="3"/>
      <c r="T640" s="3">
        <v>0</v>
      </c>
      <c r="U640" s="3">
        <v>-16</v>
      </c>
      <c r="V640" s="3">
        <v>14084.934168</v>
      </c>
      <c r="W640" s="22"/>
      <c r="Z640" s="27">
        <f t="shared" si="9"/>
        <v>1</v>
      </c>
    </row>
    <row r="641" spans="1:27" ht="23" customHeight="1">
      <c r="A641" s="3" t="s">
        <v>513</v>
      </c>
      <c r="B641" s="3" t="s">
        <v>1358</v>
      </c>
      <c r="C641" s="3" t="s">
        <v>1359</v>
      </c>
      <c r="D641" s="3" t="s">
        <v>30</v>
      </c>
      <c r="E641" s="3" t="s">
        <v>23</v>
      </c>
      <c r="F641" s="25"/>
      <c r="G641" s="3">
        <v>1</v>
      </c>
      <c r="H641" s="3">
        <v>2</v>
      </c>
      <c r="I641" s="3">
        <v>0</v>
      </c>
      <c r="J641" s="3">
        <v>0</v>
      </c>
      <c r="K641" s="3">
        <v>1</v>
      </c>
      <c r="L641" s="3">
        <v>1</v>
      </c>
      <c r="M641" s="3">
        <v>0</v>
      </c>
      <c r="N641" s="3">
        <v>0</v>
      </c>
      <c r="O641" s="3">
        <v>1</v>
      </c>
      <c r="P641" s="18"/>
      <c r="Q641" s="18"/>
      <c r="R641" s="18"/>
      <c r="S641" s="3">
        <v>3</v>
      </c>
      <c r="T641" s="3">
        <v>0</v>
      </c>
      <c r="U641" s="3">
        <v>-6</v>
      </c>
      <c r="V641" s="3">
        <v>693903.76</v>
      </c>
      <c r="W641" s="22"/>
      <c r="Z641" s="27">
        <f t="shared" si="9"/>
        <v>0</v>
      </c>
      <c r="AA641" s="19">
        <v>1</v>
      </c>
    </row>
    <row r="642" spans="1:27" ht="23" customHeight="1">
      <c r="A642" s="3" t="s">
        <v>88</v>
      </c>
      <c r="B642" s="3" t="s">
        <v>1360</v>
      </c>
      <c r="C642" s="3" t="s">
        <v>1361</v>
      </c>
      <c r="D642" s="3" t="s">
        <v>30</v>
      </c>
      <c r="E642" s="3" t="s">
        <v>23</v>
      </c>
      <c r="F642" s="25"/>
      <c r="G642" s="3">
        <v>2</v>
      </c>
      <c r="H642" s="3">
        <v>4</v>
      </c>
      <c r="I642" s="3">
        <v>0</v>
      </c>
      <c r="J642" s="3">
        <v>3</v>
      </c>
      <c r="K642" s="3">
        <v>1</v>
      </c>
      <c r="L642" s="3">
        <v>0</v>
      </c>
      <c r="M642" s="3">
        <v>0</v>
      </c>
      <c r="N642" s="3">
        <v>0</v>
      </c>
      <c r="O642" s="3">
        <v>0</v>
      </c>
      <c r="P642" s="18"/>
      <c r="Q642" s="18"/>
      <c r="R642" s="18"/>
      <c r="S642" s="3">
        <v>1</v>
      </c>
      <c r="T642" s="3">
        <v>0</v>
      </c>
      <c r="U642" s="3">
        <v>-2</v>
      </c>
      <c r="V642" s="3">
        <v>295577.32277583331</v>
      </c>
      <c r="W642" s="22"/>
      <c r="Z642" s="27">
        <f t="shared" si="9"/>
        <v>1.5</v>
      </c>
    </row>
    <row r="643" spans="1:27" ht="20" customHeight="1">
      <c r="A643" s="3" t="s">
        <v>152</v>
      </c>
      <c r="B643" s="3" t="s">
        <v>1362</v>
      </c>
      <c r="C643" s="3" t="s">
        <v>1357</v>
      </c>
      <c r="D643" s="3" t="s">
        <v>30</v>
      </c>
      <c r="E643" s="3" t="s">
        <v>23</v>
      </c>
      <c r="F643" s="25"/>
      <c r="G643" s="3">
        <v>1</v>
      </c>
      <c r="H643" s="3">
        <v>7</v>
      </c>
      <c r="I643" s="3">
        <v>0</v>
      </c>
      <c r="J643" s="3">
        <v>1</v>
      </c>
      <c r="K643" s="3">
        <v>0</v>
      </c>
      <c r="L643" s="3">
        <v>0</v>
      </c>
      <c r="M643" s="3">
        <v>0</v>
      </c>
      <c r="N643" s="3">
        <v>6</v>
      </c>
      <c r="O643" s="3">
        <v>0</v>
      </c>
      <c r="P643" s="18"/>
      <c r="Q643" s="18"/>
      <c r="R643" s="18"/>
      <c r="S643" s="3"/>
      <c r="T643" s="3">
        <v>0</v>
      </c>
      <c r="U643" s="3">
        <v>-40</v>
      </c>
      <c r="V643" s="3">
        <v>658696.98</v>
      </c>
      <c r="W643" s="22"/>
      <c r="Z643" s="27">
        <f t="shared" si="9"/>
        <v>1</v>
      </c>
    </row>
    <row r="644" spans="1:27" ht="23" customHeight="1">
      <c r="A644" s="3" t="s">
        <v>27</v>
      </c>
      <c r="B644" s="3" t="s">
        <v>1363</v>
      </c>
      <c r="C644" s="3" t="s">
        <v>1364</v>
      </c>
      <c r="D644" s="3" t="s">
        <v>22</v>
      </c>
      <c r="E644" s="3" t="s">
        <v>23</v>
      </c>
      <c r="F644" s="25"/>
      <c r="G644" s="3">
        <v>1</v>
      </c>
      <c r="H644" s="3">
        <v>2</v>
      </c>
      <c r="I644" s="3">
        <v>0</v>
      </c>
      <c r="J644" s="3">
        <v>2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18"/>
      <c r="Q644" s="18"/>
      <c r="R644" s="18"/>
      <c r="S644" s="3"/>
      <c r="T644" s="3"/>
      <c r="U644" s="3"/>
      <c r="V644" s="3"/>
      <c r="W644" s="22"/>
      <c r="Z644" s="27">
        <f t="shared" ref="Z644:Z707" si="10">J644/G644</f>
        <v>2</v>
      </c>
    </row>
    <row r="645" spans="1:27" ht="23" customHeight="1">
      <c r="A645" s="3" t="s">
        <v>27</v>
      </c>
      <c r="B645" s="3" t="s">
        <v>1365</v>
      </c>
      <c r="C645" s="3" t="s">
        <v>1366</v>
      </c>
      <c r="D645" s="3" t="s">
        <v>22</v>
      </c>
      <c r="E645" s="3" t="s">
        <v>23</v>
      </c>
      <c r="F645" s="25"/>
      <c r="G645" s="3">
        <v>2</v>
      </c>
      <c r="H645" s="3">
        <v>4</v>
      </c>
      <c r="I645" s="3">
        <v>0</v>
      </c>
      <c r="J645" s="3">
        <v>4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18"/>
      <c r="Q645" s="18"/>
      <c r="R645" s="18"/>
      <c r="S645" s="3"/>
      <c r="T645" s="3">
        <v>0</v>
      </c>
      <c r="U645" s="3">
        <v>-2</v>
      </c>
      <c r="V645" s="3">
        <v>3050000</v>
      </c>
      <c r="W645" s="22"/>
      <c r="Z645" s="27">
        <f t="shared" si="10"/>
        <v>2</v>
      </c>
    </row>
    <row r="646" spans="1:27" ht="20" customHeight="1">
      <c r="A646" s="3" t="s">
        <v>444</v>
      </c>
      <c r="B646" s="3" t="s">
        <v>1367</v>
      </c>
      <c r="C646" s="3" t="s">
        <v>1368</v>
      </c>
      <c r="D646" s="3" t="s">
        <v>22</v>
      </c>
      <c r="E646" s="3" t="s">
        <v>23</v>
      </c>
      <c r="F646" s="25"/>
      <c r="G646" s="3">
        <v>1</v>
      </c>
      <c r="H646" s="3">
        <v>3</v>
      </c>
      <c r="I646" s="3">
        <v>0</v>
      </c>
      <c r="J646" s="3">
        <v>2</v>
      </c>
      <c r="K646" s="3">
        <v>0</v>
      </c>
      <c r="L646" s="3">
        <v>0</v>
      </c>
      <c r="M646" s="3">
        <v>0</v>
      </c>
      <c r="N646" s="3">
        <v>0</v>
      </c>
      <c r="O646" s="3">
        <v>1</v>
      </c>
      <c r="P646" s="18"/>
      <c r="Q646" s="18"/>
      <c r="R646" s="18"/>
      <c r="S646" s="3"/>
      <c r="T646" s="3">
        <v>-1</v>
      </c>
      <c r="U646" s="3">
        <v>-2</v>
      </c>
      <c r="V646" s="3"/>
      <c r="W646" s="22"/>
      <c r="Z646" s="27">
        <f t="shared" si="10"/>
        <v>2</v>
      </c>
    </row>
    <row r="647" spans="1:27" ht="23" customHeight="1">
      <c r="A647" s="3" t="s">
        <v>1369</v>
      </c>
      <c r="B647" s="3" t="s">
        <v>1370</v>
      </c>
      <c r="C647" s="3" t="s">
        <v>1371</v>
      </c>
      <c r="D647" s="3" t="s">
        <v>22</v>
      </c>
      <c r="E647" s="3" t="s">
        <v>23</v>
      </c>
      <c r="F647" s="25"/>
      <c r="G647" s="3">
        <v>1</v>
      </c>
      <c r="H647" s="3">
        <v>1</v>
      </c>
      <c r="I647" s="3">
        <v>0</v>
      </c>
      <c r="J647" s="3">
        <v>1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18"/>
      <c r="Q647" s="18"/>
      <c r="R647" s="18"/>
      <c r="S647" s="3"/>
      <c r="T647" s="3"/>
      <c r="U647" s="3"/>
      <c r="V647" s="3">
        <v>234368.28</v>
      </c>
      <c r="W647" s="22"/>
      <c r="Z647" s="27">
        <f t="shared" si="10"/>
        <v>1</v>
      </c>
    </row>
    <row r="648" spans="1:27" ht="34" customHeight="1">
      <c r="A648" s="3" t="s">
        <v>1369</v>
      </c>
      <c r="B648" s="3" t="s">
        <v>1372</v>
      </c>
      <c r="C648" s="3" t="s">
        <v>1373</v>
      </c>
      <c r="D648" s="3" t="s">
        <v>22</v>
      </c>
      <c r="E648" s="3" t="s">
        <v>23</v>
      </c>
      <c r="F648" s="25"/>
      <c r="G648" s="3">
        <v>1</v>
      </c>
      <c r="H648" s="3">
        <v>1</v>
      </c>
      <c r="I648" s="3">
        <v>0</v>
      </c>
      <c r="J648" s="3">
        <v>1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18"/>
      <c r="Q648" s="18"/>
      <c r="R648" s="18"/>
      <c r="S648" s="3"/>
      <c r="T648" s="3">
        <v>0</v>
      </c>
      <c r="U648" s="3">
        <v>-1</v>
      </c>
      <c r="V648" s="3"/>
      <c r="W648" s="22"/>
      <c r="Z648" s="27">
        <f t="shared" si="10"/>
        <v>1</v>
      </c>
    </row>
    <row r="649" spans="1:27" ht="34" customHeight="1">
      <c r="A649" s="3" t="s">
        <v>1369</v>
      </c>
      <c r="B649" s="3" t="s">
        <v>1374</v>
      </c>
      <c r="C649" s="3" t="s">
        <v>1375</v>
      </c>
      <c r="D649" s="3" t="s">
        <v>22</v>
      </c>
      <c r="E649" s="3" t="s">
        <v>23</v>
      </c>
      <c r="F649" s="25"/>
      <c r="G649" s="3">
        <v>6</v>
      </c>
      <c r="H649" s="3">
        <v>18</v>
      </c>
      <c r="I649" s="3">
        <v>0</v>
      </c>
      <c r="J649" s="3">
        <v>15</v>
      </c>
      <c r="K649" s="3">
        <v>0</v>
      </c>
      <c r="L649" s="3">
        <v>0</v>
      </c>
      <c r="M649" s="3">
        <v>0</v>
      </c>
      <c r="N649" s="3">
        <v>0</v>
      </c>
      <c r="O649" s="3">
        <v>3</v>
      </c>
      <c r="P649" s="18"/>
      <c r="Q649" s="18"/>
      <c r="R649" s="18"/>
      <c r="S649" s="3"/>
      <c r="T649" s="3">
        <v>0</v>
      </c>
      <c r="U649" s="3">
        <v>-12</v>
      </c>
      <c r="V649" s="3">
        <v>423413.57127727789</v>
      </c>
      <c r="W649" s="22"/>
      <c r="Z649" s="27">
        <f t="shared" si="10"/>
        <v>2.5</v>
      </c>
    </row>
    <row r="650" spans="1:27" ht="34" customHeight="1">
      <c r="A650" s="3" t="s">
        <v>1369</v>
      </c>
      <c r="B650" s="3" t="s">
        <v>1376</v>
      </c>
      <c r="C650" s="3" t="s">
        <v>1375</v>
      </c>
      <c r="D650" s="3" t="s">
        <v>22</v>
      </c>
      <c r="E650" s="3" t="s">
        <v>23</v>
      </c>
      <c r="F650" s="25"/>
      <c r="G650" s="3">
        <v>6</v>
      </c>
      <c r="H650" s="3">
        <v>14</v>
      </c>
      <c r="I650" s="3">
        <v>0</v>
      </c>
      <c r="J650" s="3">
        <v>11</v>
      </c>
      <c r="K650" s="3">
        <v>0</v>
      </c>
      <c r="L650" s="3">
        <v>0</v>
      </c>
      <c r="M650" s="3">
        <v>0</v>
      </c>
      <c r="N650" s="3">
        <v>0</v>
      </c>
      <c r="O650" s="3">
        <v>3</v>
      </c>
      <c r="P650" s="18"/>
      <c r="Q650" s="18"/>
      <c r="R650" s="18"/>
      <c r="S650" s="3"/>
      <c r="T650" s="3">
        <v>-1</v>
      </c>
      <c r="U650" s="3">
        <v>-9</v>
      </c>
      <c r="V650" s="3">
        <v>247190.35042967668</v>
      </c>
      <c r="W650" s="22"/>
      <c r="Z650" s="27">
        <f t="shared" si="10"/>
        <v>1.8333333333333333</v>
      </c>
    </row>
    <row r="651" spans="1:27" ht="23" customHeight="1">
      <c r="A651" s="3" t="s">
        <v>1377</v>
      </c>
      <c r="B651" s="3" t="s">
        <v>1378</v>
      </c>
      <c r="C651" s="3" t="s">
        <v>1379</v>
      </c>
      <c r="D651" s="3" t="s">
        <v>30</v>
      </c>
      <c r="E651" s="3" t="s">
        <v>23</v>
      </c>
      <c r="F651" s="25"/>
      <c r="G651" s="3">
        <v>2</v>
      </c>
      <c r="H651" s="3">
        <v>9</v>
      </c>
      <c r="I651" s="3">
        <v>0</v>
      </c>
      <c r="J651" s="3">
        <v>7</v>
      </c>
      <c r="K651" s="3">
        <v>2</v>
      </c>
      <c r="L651" s="3">
        <v>0</v>
      </c>
      <c r="M651" s="3">
        <v>0</v>
      </c>
      <c r="N651" s="3">
        <v>0</v>
      </c>
      <c r="O651" s="3">
        <v>0</v>
      </c>
      <c r="P651" s="18"/>
      <c r="Q651" s="18"/>
      <c r="R651" s="18"/>
      <c r="S651" s="3"/>
      <c r="T651" s="3">
        <v>0</v>
      </c>
      <c r="U651" s="3">
        <v>-4</v>
      </c>
      <c r="V651" s="3">
        <v>439039.83488999994</v>
      </c>
      <c r="W651" s="22"/>
      <c r="Z651" s="27">
        <f t="shared" si="10"/>
        <v>3.5</v>
      </c>
    </row>
    <row r="652" spans="1:27" ht="20" customHeight="1">
      <c r="A652" s="3" t="s">
        <v>1377</v>
      </c>
      <c r="B652" s="3" t="s">
        <v>1380</v>
      </c>
      <c r="C652" s="3" t="s">
        <v>1381</v>
      </c>
      <c r="D652" s="3" t="s">
        <v>30</v>
      </c>
      <c r="E652" s="3" t="s">
        <v>23</v>
      </c>
      <c r="F652" s="25"/>
      <c r="G652" s="3">
        <v>2</v>
      </c>
      <c r="H652" s="3">
        <v>8</v>
      </c>
      <c r="I652" s="3">
        <v>0</v>
      </c>
      <c r="J652" s="3">
        <v>7</v>
      </c>
      <c r="K652" s="3">
        <v>0</v>
      </c>
      <c r="L652" s="3">
        <v>0</v>
      </c>
      <c r="M652" s="3">
        <v>0</v>
      </c>
      <c r="N652" s="3">
        <v>0</v>
      </c>
      <c r="O652" s="3">
        <v>1</v>
      </c>
      <c r="P652" s="18"/>
      <c r="Q652" s="18"/>
      <c r="R652" s="18"/>
      <c r="S652" s="3"/>
      <c r="T652" s="3">
        <v>-1</v>
      </c>
      <c r="U652" s="3">
        <v>-2</v>
      </c>
      <c r="V652" s="3">
        <v>236686.40160000001</v>
      </c>
      <c r="W652" s="22"/>
      <c r="Z652" s="27">
        <f t="shared" si="10"/>
        <v>3.5</v>
      </c>
    </row>
    <row r="653" spans="1:27" ht="23" customHeight="1">
      <c r="A653" s="3" t="s">
        <v>1377</v>
      </c>
      <c r="B653" s="3" t="s">
        <v>1382</v>
      </c>
      <c r="C653" s="3" t="s">
        <v>1379</v>
      </c>
      <c r="D653" s="3" t="s">
        <v>30</v>
      </c>
      <c r="E653" s="3" t="s">
        <v>23</v>
      </c>
      <c r="F653" s="25"/>
      <c r="G653" s="3">
        <v>2</v>
      </c>
      <c r="H653" s="3">
        <v>8</v>
      </c>
      <c r="I653" s="3">
        <v>0</v>
      </c>
      <c r="J653" s="3">
        <v>8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18"/>
      <c r="Q653" s="18"/>
      <c r="R653" s="18"/>
      <c r="S653" s="3"/>
      <c r="T653" s="3">
        <v>0</v>
      </c>
      <c r="U653" s="3">
        <v>-4</v>
      </c>
      <c r="V653" s="3">
        <v>196191.58175000001</v>
      </c>
      <c r="W653" s="22"/>
      <c r="Z653" s="27">
        <f t="shared" si="10"/>
        <v>4</v>
      </c>
    </row>
    <row r="654" spans="1:27" ht="23" customHeight="1">
      <c r="A654" s="3" t="s">
        <v>1369</v>
      </c>
      <c r="B654" s="3" t="s">
        <v>1383</v>
      </c>
      <c r="C654" s="3" t="s">
        <v>1384</v>
      </c>
      <c r="D654" s="3" t="s">
        <v>30</v>
      </c>
      <c r="E654" s="3" t="s">
        <v>23</v>
      </c>
      <c r="F654" s="25"/>
      <c r="G654" s="3">
        <v>1</v>
      </c>
      <c r="H654" s="3">
        <v>4</v>
      </c>
      <c r="I654" s="3">
        <v>0</v>
      </c>
      <c r="J654" s="3">
        <v>4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18"/>
      <c r="Q654" s="18"/>
      <c r="R654" s="18"/>
      <c r="S654" s="3"/>
      <c r="T654" s="3">
        <v>-1</v>
      </c>
      <c r="U654" s="3">
        <v>-1</v>
      </c>
      <c r="V654" s="3">
        <v>329905.41150000005</v>
      </c>
      <c r="W654" s="22"/>
      <c r="Z654" s="27">
        <f t="shared" si="10"/>
        <v>4</v>
      </c>
    </row>
    <row r="655" spans="1:27" ht="34" customHeight="1">
      <c r="A655" s="3" t="s">
        <v>926</v>
      </c>
      <c r="B655" s="3" t="s">
        <v>1385</v>
      </c>
      <c r="C655" s="3" t="s">
        <v>1386</v>
      </c>
      <c r="D655" s="3" t="s">
        <v>22</v>
      </c>
      <c r="E655" s="3" t="s">
        <v>23</v>
      </c>
      <c r="F655" s="25"/>
      <c r="G655" s="3">
        <v>2</v>
      </c>
      <c r="H655" s="3">
        <v>8</v>
      </c>
      <c r="I655" s="3">
        <v>0</v>
      </c>
      <c r="J655" s="3">
        <v>5</v>
      </c>
      <c r="K655" s="3">
        <v>0</v>
      </c>
      <c r="L655" s="3">
        <v>0</v>
      </c>
      <c r="M655" s="3">
        <v>0</v>
      </c>
      <c r="N655" s="3">
        <v>0</v>
      </c>
      <c r="O655" s="3">
        <v>3</v>
      </c>
      <c r="P655" s="18"/>
      <c r="Q655" s="18"/>
      <c r="R655" s="18"/>
      <c r="S655" s="3"/>
      <c r="T655" s="3">
        <v>0</v>
      </c>
      <c r="U655" s="3">
        <v>-4</v>
      </c>
      <c r="V655" s="3">
        <v>44791.69</v>
      </c>
      <c r="W655" s="22"/>
      <c r="Z655" s="27">
        <f t="shared" si="10"/>
        <v>2.5</v>
      </c>
    </row>
    <row r="656" spans="1:27" ht="23" customHeight="1">
      <c r="A656" s="3" t="s">
        <v>1387</v>
      </c>
      <c r="B656" s="3" t="s">
        <v>1388</v>
      </c>
      <c r="C656" s="3" t="s">
        <v>1389</v>
      </c>
      <c r="D656" s="3" t="s">
        <v>22</v>
      </c>
      <c r="E656" s="3" t="s">
        <v>23</v>
      </c>
      <c r="F656" s="25"/>
      <c r="G656" s="3">
        <v>2</v>
      </c>
      <c r="H656" s="3">
        <v>12</v>
      </c>
      <c r="I656" s="3">
        <v>0</v>
      </c>
      <c r="J656" s="3">
        <v>1</v>
      </c>
      <c r="K656" s="3">
        <v>0</v>
      </c>
      <c r="L656" s="3">
        <v>0</v>
      </c>
      <c r="M656" s="3">
        <v>1</v>
      </c>
      <c r="N656" s="3">
        <v>1</v>
      </c>
      <c r="O656" s="3">
        <v>10</v>
      </c>
      <c r="P656" s="18"/>
      <c r="Q656" s="18"/>
      <c r="R656" s="18"/>
      <c r="S656" s="3">
        <v>2</v>
      </c>
      <c r="T656" s="3">
        <v>-5</v>
      </c>
      <c r="U656" s="3">
        <v>-18</v>
      </c>
      <c r="V656" s="3">
        <v>638413.93539444439</v>
      </c>
      <c r="W656" s="22"/>
      <c r="Z656" s="27">
        <f t="shared" si="10"/>
        <v>0.5</v>
      </c>
    </row>
    <row r="657" spans="1:27" ht="23" customHeight="1">
      <c r="A657" s="3" t="s">
        <v>1387</v>
      </c>
      <c r="B657" s="3" t="s">
        <v>1390</v>
      </c>
      <c r="C657" s="3" t="s">
        <v>1389</v>
      </c>
      <c r="D657" s="3" t="s">
        <v>22</v>
      </c>
      <c r="E657" s="3" t="s">
        <v>23</v>
      </c>
      <c r="F657" s="25"/>
      <c r="G657" s="3">
        <v>1</v>
      </c>
      <c r="H657" s="3">
        <v>6</v>
      </c>
      <c r="I657" s="3">
        <v>0</v>
      </c>
      <c r="J657" s="3">
        <v>5</v>
      </c>
      <c r="K657" s="3">
        <v>0</v>
      </c>
      <c r="L657" s="3">
        <v>0</v>
      </c>
      <c r="M657" s="3">
        <v>0</v>
      </c>
      <c r="N657" s="3">
        <v>1</v>
      </c>
      <c r="O657" s="3">
        <v>0</v>
      </c>
      <c r="P657" s="18"/>
      <c r="Q657" s="18"/>
      <c r="R657" s="18"/>
      <c r="S657" s="3"/>
      <c r="T657" s="3">
        <v>0</v>
      </c>
      <c r="U657" s="3">
        <v>-1</v>
      </c>
      <c r="V657" s="3">
        <v>3684339.1999999997</v>
      </c>
      <c r="W657" s="22"/>
      <c r="Z657" s="27">
        <f t="shared" si="10"/>
        <v>5</v>
      </c>
    </row>
    <row r="658" spans="1:27" ht="34" customHeight="1">
      <c r="A658" s="3" t="s">
        <v>1387</v>
      </c>
      <c r="B658" s="3" t="s">
        <v>1391</v>
      </c>
      <c r="C658" s="3" t="s">
        <v>1392</v>
      </c>
      <c r="D658" s="3" t="s">
        <v>22</v>
      </c>
      <c r="E658" s="3" t="s">
        <v>23</v>
      </c>
      <c r="F658" s="25"/>
      <c r="G658" s="3">
        <v>2</v>
      </c>
      <c r="H658" s="3">
        <v>5</v>
      </c>
      <c r="I658" s="3">
        <v>0</v>
      </c>
      <c r="J658" s="3">
        <v>3</v>
      </c>
      <c r="K658" s="3">
        <v>0</v>
      </c>
      <c r="L658" s="3">
        <v>0</v>
      </c>
      <c r="M658" s="3">
        <v>0</v>
      </c>
      <c r="N658" s="3">
        <v>0</v>
      </c>
      <c r="O658" s="3">
        <v>2</v>
      </c>
      <c r="P658" s="18"/>
      <c r="Q658" s="18"/>
      <c r="R658" s="18"/>
      <c r="S658" s="3"/>
      <c r="T658" s="3"/>
      <c r="U658" s="3"/>
      <c r="V658" s="3">
        <v>10200366.280693166</v>
      </c>
      <c r="W658" s="22"/>
      <c r="Z658" s="27">
        <f t="shared" si="10"/>
        <v>1.5</v>
      </c>
    </row>
    <row r="659" spans="1:27" ht="34" customHeight="1">
      <c r="A659" s="3" t="s">
        <v>309</v>
      </c>
      <c r="B659" s="3" t="s">
        <v>1393</v>
      </c>
      <c r="C659" s="3" t="s">
        <v>1394</v>
      </c>
      <c r="D659" s="3" t="s">
        <v>22</v>
      </c>
      <c r="E659" s="3" t="s">
        <v>23</v>
      </c>
      <c r="F659" s="25"/>
      <c r="G659" s="3">
        <v>2</v>
      </c>
      <c r="H659" s="3">
        <v>4</v>
      </c>
      <c r="I659" s="3">
        <v>0</v>
      </c>
      <c r="J659" s="3">
        <v>2</v>
      </c>
      <c r="K659" s="3">
        <v>0</v>
      </c>
      <c r="L659" s="3">
        <v>0</v>
      </c>
      <c r="M659" s="3">
        <v>0</v>
      </c>
      <c r="N659" s="3">
        <v>0</v>
      </c>
      <c r="O659" s="3">
        <v>2</v>
      </c>
      <c r="P659" s="18"/>
      <c r="Q659" s="18"/>
      <c r="R659" s="18"/>
      <c r="S659" s="3"/>
      <c r="T659" s="3">
        <v>0</v>
      </c>
      <c r="U659" s="3">
        <v>-2</v>
      </c>
      <c r="V659" s="3">
        <v>796465.59333333338</v>
      </c>
      <c r="W659" s="22"/>
      <c r="Z659" s="27">
        <f t="shared" si="10"/>
        <v>1</v>
      </c>
    </row>
    <row r="660" spans="1:27" ht="20" customHeight="1">
      <c r="A660" s="3" t="s">
        <v>1395</v>
      </c>
      <c r="B660" s="3" t="s">
        <v>1396</v>
      </c>
      <c r="C660" s="3" t="s">
        <v>1397</v>
      </c>
      <c r="D660" s="3" t="s">
        <v>22</v>
      </c>
      <c r="E660" s="3" t="s">
        <v>23</v>
      </c>
      <c r="F660" s="25"/>
      <c r="G660" s="3">
        <v>2</v>
      </c>
      <c r="H660" s="3">
        <v>5</v>
      </c>
      <c r="I660" s="3">
        <v>0</v>
      </c>
      <c r="J660" s="3">
        <v>3</v>
      </c>
      <c r="K660" s="3">
        <v>0</v>
      </c>
      <c r="L660" s="3">
        <v>0</v>
      </c>
      <c r="M660" s="3">
        <v>2</v>
      </c>
      <c r="N660" s="3">
        <v>0</v>
      </c>
      <c r="O660" s="3">
        <v>2</v>
      </c>
      <c r="P660" s="18"/>
      <c r="Q660" s="18"/>
      <c r="R660" s="18"/>
      <c r="S660" s="3"/>
      <c r="T660" s="3">
        <v>-1</v>
      </c>
      <c r="U660" s="3">
        <v>-7</v>
      </c>
      <c r="V660" s="3"/>
      <c r="W660" s="22"/>
      <c r="Z660" s="27">
        <f t="shared" si="10"/>
        <v>1.5</v>
      </c>
    </row>
    <row r="661" spans="1:27" ht="23" customHeight="1">
      <c r="A661" s="3" t="s">
        <v>1398</v>
      </c>
      <c r="B661" s="3" t="s">
        <v>1399</v>
      </c>
      <c r="C661" s="3" t="s">
        <v>1400</v>
      </c>
      <c r="D661" s="3" t="s">
        <v>22</v>
      </c>
      <c r="E661" s="3" t="s">
        <v>23</v>
      </c>
      <c r="F661" s="25"/>
      <c r="G661" s="3">
        <v>3</v>
      </c>
      <c r="H661" s="3">
        <v>5</v>
      </c>
      <c r="I661" s="3">
        <v>0</v>
      </c>
      <c r="J661" s="3">
        <v>4</v>
      </c>
      <c r="K661" s="3">
        <v>0</v>
      </c>
      <c r="L661" s="3">
        <v>0</v>
      </c>
      <c r="M661" s="3">
        <v>0</v>
      </c>
      <c r="N661" s="3">
        <v>1</v>
      </c>
      <c r="O661" s="3">
        <v>0</v>
      </c>
      <c r="P661" s="18"/>
      <c r="Q661" s="18"/>
      <c r="R661" s="18"/>
      <c r="S661" s="3"/>
      <c r="T661" s="3"/>
      <c r="U661" s="3"/>
      <c r="V661" s="3"/>
      <c r="W661" s="22"/>
      <c r="Z661" s="27">
        <f t="shared" si="10"/>
        <v>1.3333333333333333</v>
      </c>
    </row>
    <row r="662" spans="1:27" ht="23" customHeight="1">
      <c r="A662" s="3" t="s">
        <v>791</v>
      </c>
      <c r="B662" s="3" t="s">
        <v>1401</v>
      </c>
      <c r="C662" s="3" t="s">
        <v>1402</v>
      </c>
      <c r="D662" s="3" t="s">
        <v>30</v>
      </c>
      <c r="E662" s="3" t="s">
        <v>23</v>
      </c>
      <c r="F662" s="25"/>
      <c r="G662" s="3">
        <v>1</v>
      </c>
      <c r="H662" s="3">
        <v>6</v>
      </c>
      <c r="I662" s="3">
        <v>0</v>
      </c>
      <c r="J662" s="3">
        <v>2</v>
      </c>
      <c r="K662" s="3">
        <v>0</v>
      </c>
      <c r="L662" s="3">
        <v>0</v>
      </c>
      <c r="M662" s="3">
        <v>0</v>
      </c>
      <c r="N662" s="3">
        <v>1</v>
      </c>
      <c r="O662" s="3">
        <v>3</v>
      </c>
      <c r="P662" s="18"/>
      <c r="Q662" s="18"/>
      <c r="R662" s="18"/>
      <c r="S662" s="3"/>
      <c r="T662" s="3">
        <v>-1</v>
      </c>
      <c r="U662" s="3">
        <v>-4</v>
      </c>
      <c r="V662" s="3">
        <v>376803.53399999999</v>
      </c>
      <c r="W662" s="22"/>
      <c r="Z662" s="27">
        <f t="shared" si="10"/>
        <v>2</v>
      </c>
    </row>
    <row r="663" spans="1:27" ht="23" customHeight="1">
      <c r="A663" s="3" t="s">
        <v>570</v>
      </c>
      <c r="B663" s="3" t="s">
        <v>1403</v>
      </c>
      <c r="C663" s="3" t="s">
        <v>1404</v>
      </c>
      <c r="D663" s="3" t="s">
        <v>30</v>
      </c>
      <c r="E663" s="3" t="s">
        <v>23</v>
      </c>
      <c r="F663" s="25"/>
      <c r="G663" s="3">
        <v>1</v>
      </c>
      <c r="H663" s="3">
        <v>1</v>
      </c>
      <c r="I663" s="3">
        <v>0</v>
      </c>
      <c r="J663" s="3">
        <v>1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18"/>
      <c r="Q663" s="18"/>
      <c r="R663" s="18"/>
      <c r="S663" s="3"/>
      <c r="T663" s="3">
        <v>0</v>
      </c>
      <c r="U663" s="3">
        <v>-2</v>
      </c>
      <c r="V663" s="3">
        <v>73716.769886249996</v>
      </c>
      <c r="W663" s="22"/>
      <c r="Z663" s="27">
        <f t="shared" si="10"/>
        <v>1</v>
      </c>
    </row>
    <row r="664" spans="1:27" ht="23" customHeight="1">
      <c r="A664" s="3" t="s">
        <v>570</v>
      </c>
      <c r="B664" s="3" t="s">
        <v>1405</v>
      </c>
      <c r="C664" s="3" t="s">
        <v>1404</v>
      </c>
      <c r="D664" s="3" t="s">
        <v>30</v>
      </c>
      <c r="E664" s="3" t="s">
        <v>23</v>
      </c>
      <c r="F664" s="25"/>
      <c r="G664" s="3">
        <v>1</v>
      </c>
      <c r="H664" s="3">
        <v>5</v>
      </c>
      <c r="I664" s="3">
        <v>0</v>
      </c>
      <c r="J664" s="3">
        <v>5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18"/>
      <c r="Q664" s="18"/>
      <c r="R664" s="18"/>
      <c r="S664" s="3"/>
      <c r="T664" s="3">
        <v>0</v>
      </c>
      <c r="U664" s="3">
        <v>-2</v>
      </c>
      <c r="V664" s="3">
        <v>83968.851782333339</v>
      </c>
      <c r="W664" s="22"/>
      <c r="Z664" s="27">
        <f t="shared" si="10"/>
        <v>5</v>
      </c>
    </row>
    <row r="665" spans="1:27" ht="23" customHeight="1">
      <c r="A665" s="3" t="s">
        <v>427</v>
      </c>
      <c r="B665" s="3" t="s">
        <v>1406</v>
      </c>
      <c r="C665" s="3" t="s">
        <v>1407</v>
      </c>
      <c r="D665" s="3" t="s">
        <v>22</v>
      </c>
      <c r="E665" s="3" t="s">
        <v>23</v>
      </c>
      <c r="F665" s="25"/>
      <c r="G665" s="3">
        <v>1</v>
      </c>
      <c r="H665" s="3">
        <v>4</v>
      </c>
      <c r="I665" s="3">
        <v>0</v>
      </c>
      <c r="J665" s="3">
        <v>4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18"/>
      <c r="Q665" s="18"/>
      <c r="R665" s="18"/>
      <c r="S665" s="3"/>
      <c r="T665" s="3">
        <v>0</v>
      </c>
      <c r="U665" s="3">
        <v>-2</v>
      </c>
      <c r="V665" s="3">
        <v>739886.79299999995</v>
      </c>
      <c r="W665" s="22"/>
      <c r="Z665" s="27">
        <f t="shared" si="10"/>
        <v>4</v>
      </c>
    </row>
    <row r="666" spans="1:27" ht="23" customHeight="1">
      <c r="A666" s="3" t="s">
        <v>1408</v>
      </c>
      <c r="B666" s="3" t="s">
        <v>1409</v>
      </c>
      <c r="C666" s="3" t="s">
        <v>1410</v>
      </c>
      <c r="D666" s="3" t="s">
        <v>22</v>
      </c>
      <c r="E666" s="3" t="s">
        <v>23</v>
      </c>
      <c r="F666" s="25"/>
      <c r="G666" s="3">
        <v>4</v>
      </c>
      <c r="H666" s="3">
        <v>9</v>
      </c>
      <c r="I666" s="3">
        <v>0</v>
      </c>
      <c r="J666" s="3">
        <v>2</v>
      </c>
      <c r="K666" s="3">
        <v>0</v>
      </c>
      <c r="L666" s="3">
        <v>0</v>
      </c>
      <c r="M666" s="3">
        <v>0</v>
      </c>
      <c r="N666" s="3">
        <v>0</v>
      </c>
      <c r="O666" s="3">
        <v>7</v>
      </c>
      <c r="P666" s="18"/>
      <c r="Q666" s="18"/>
      <c r="R666" s="18"/>
      <c r="S666" s="3">
        <v>2</v>
      </c>
      <c r="T666" s="3">
        <v>-1</v>
      </c>
      <c r="U666" s="3">
        <v>-14</v>
      </c>
      <c r="V666" s="3">
        <v>1479732</v>
      </c>
      <c r="W666" s="22"/>
      <c r="Z666" s="27">
        <f t="shared" si="10"/>
        <v>0.5</v>
      </c>
    </row>
    <row r="667" spans="1:27" ht="20" customHeight="1">
      <c r="A667" s="3" t="s">
        <v>1411</v>
      </c>
      <c r="B667" s="3" t="s">
        <v>1412</v>
      </c>
      <c r="C667" s="3" t="s">
        <v>1413</v>
      </c>
      <c r="D667" s="3" t="s">
        <v>22</v>
      </c>
      <c r="E667" s="3" t="s">
        <v>23</v>
      </c>
      <c r="F667" s="25"/>
      <c r="G667" s="3">
        <v>1</v>
      </c>
      <c r="H667" s="3">
        <v>1</v>
      </c>
      <c r="I667" s="3">
        <v>0</v>
      </c>
      <c r="J667" s="3">
        <v>1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18"/>
      <c r="Q667" s="18"/>
      <c r="R667" s="18"/>
      <c r="S667" s="3"/>
      <c r="T667" s="3">
        <v>-1</v>
      </c>
      <c r="U667" s="3">
        <v>-3</v>
      </c>
      <c r="V667" s="3">
        <v>1012608</v>
      </c>
      <c r="W667" s="22"/>
      <c r="Z667" s="27">
        <f t="shared" si="10"/>
        <v>1</v>
      </c>
    </row>
    <row r="668" spans="1:27" ht="23" customHeight="1">
      <c r="A668" s="3" t="s">
        <v>1414</v>
      </c>
      <c r="B668" s="3" t="s">
        <v>1415</v>
      </c>
      <c r="C668" s="3" t="s">
        <v>1416</v>
      </c>
      <c r="D668" s="3" t="s">
        <v>22</v>
      </c>
      <c r="E668" s="3" t="s">
        <v>23</v>
      </c>
      <c r="F668" s="25"/>
      <c r="G668" s="3">
        <v>3</v>
      </c>
      <c r="H668" s="3">
        <v>5</v>
      </c>
      <c r="I668" s="3">
        <v>0</v>
      </c>
      <c r="J668" s="3">
        <v>1</v>
      </c>
      <c r="K668" s="3">
        <v>0</v>
      </c>
      <c r="L668" s="3">
        <v>0</v>
      </c>
      <c r="M668" s="3">
        <v>0</v>
      </c>
      <c r="N668" s="3">
        <v>0</v>
      </c>
      <c r="O668" s="3">
        <v>4</v>
      </c>
      <c r="P668" s="18"/>
      <c r="Q668" s="18"/>
      <c r="R668" s="18"/>
      <c r="S668" s="3">
        <v>1</v>
      </c>
      <c r="T668" s="3">
        <v>-2</v>
      </c>
      <c r="U668" s="3">
        <v>-15</v>
      </c>
      <c r="V668" s="3">
        <v>7336939.4816589998</v>
      </c>
      <c r="W668" s="22"/>
      <c r="Z668" s="27">
        <f t="shared" si="10"/>
        <v>0.33333333333333331</v>
      </c>
      <c r="AA668" s="19">
        <v>1</v>
      </c>
    </row>
    <row r="669" spans="1:27" ht="23" customHeight="1">
      <c r="A669" s="3" t="s">
        <v>1417</v>
      </c>
      <c r="B669" s="3" t="s">
        <v>1418</v>
      </c>
      <c r="C669" s="3" t="s">
        <v>1416</v>
      </c>
      <c r="D669" s="3" t="s">
        <v>22</v>
      </c>
      <c r="E669" s="3" t="s">
        <v>23</v>
      </c>
      <c r="F669" s="25"/>
      <c r="G669" s="3">
        <v>1</v>
      </c>
      <c r="H669" s="3">
        <v>1</v>
      </c>
      <c r="I669" s="3">
        <v>0</v>
      </c>
      <c r="J669" s="3">
        <v>1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18"/>
      <c r="Q669" s="18"/>
      <c r="R669" s="18"/>
      <c r="S669" s="3"/>
      <c r="T669" s="3"/>
      <c r="U669" s="3"/>
      <c r="V669" s="3">
        <v>0</v>
      </c>
      <c r="W669" s="22"/>
      <c r="Z669" s="27">
        <f t="shared" si="10"/>
        <v>1</v>
      </c>
    </row>
    <row r="670" spans="1:27" ht="23" customHeight="1">
      <c r="A670" s="3" t="s">
        <v>1419</v>
      </c>
      <c r="B670" s="3" t="s">
        <v>1420</v>
      </c>
      <c r="C670" s="3" t="s">
        <v>899</v>
      </c>
      <c r="D670" s="3" t="s">
        <v>22</v>
      </c>
      <c r="E670" s="3" t="s">
        <v>23</v>
      </c>
      <c r="F670" s="25"/>
      <c r="G670" s="3">
        <v>1</v>
      </c>
      <c r="H670" s="3">
        <v>2</v>
      </c>
      <c r="I670" s="3">
        <v>0</v>
      </c>
      <c r="J670" s="3">
        <v>2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18"/>
      <c r="Q670" s="18"/>
      <c r="R670" s="18"/>
      <c r="S670" s="3"/>
      <c r="T670" s="3"/>
      <c r="U670" s="3"/>
      <c r="V670" s="3">
        <v>291729.83999999997</v>
      </c>
      <c r="W670" s="22"/>
      <c r="Z670" s="27">
        <f t="shared" si="10"/>
        <v>2</v>
      </c>
    </row>
    <row r="671" spans="1:27" ht="34" customHeight="1">
      <c r="A671" s="3" t="s">
        <v>1417</v>
      </c>
      <c r="B671" s="3" t="s">
        <v>1421</v>
      </c>
      <c r="C671" s="3" t="s">
        <v>1422</v>
      </c>
      <c r="D671" s="3" t="s">
        <v>22</v>
      </c>
      <c r="E671" s="3" t="s">
        <v>23</v>
      </c>
      <c r="F671" s="25"/>
      <c r="G671" s="3">
        <v>1</v>
      </c>
      <c r="H671" s="3">
        <v>2</v>
      </c>
      <c r="I671" s="3">
        <v>0</v>
      </c>
      <c r="J671" s="3">
        <v>2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18"/>
      <c r="Q671" s="18"/>
      <c r="R671" s="18"/>
      <c r="S671" s="3"/>
      <c r="T671" s="3"/>
      <c r="U671" s="3"/>
      <c r="V671" s="3">
        <v>4850964.2960999999</v>
      </c>
      <c r="W671" s="22"/>
      <c r="Z671" s="27">
        <f t="shared" si="10"/>
        <v>2</v>
      </c>
    </row>
    <row r="672" spans="1:27" ht="34" customHeight="1">
      <c r="A672" s="3" t="s">
        <v>1417</v>
      </c>
      <c r="B672" s="3" t="s">
        <v>1423</v>
      </c>
      <c r="C672" s="3" t="s">
        <v>1422</v>
      </c>
      <c r="D672" s="3" t="s">
        <v>22</v>
      </c>
      <c r="E672" s="3" t="s">
        <v>23</v>
      </c>
      <c r="F672" s="25"/>
      <c r="G672" s="3">
        <v>1</v>
      </c>
      <c r="H672" s="3">
        <v>3</v>
      </c>
      <c r="I672" s="3">
        <v>0</v>
      </c>
      <c r="J672" s="3">
        <v>1</v>
      </c>
      <c r="K672" s="3">
        <v>0</v>
      </c>
      <c r="L672" s="3">
        <v>0</v>
      </c>
      <c r="M672" s="3">
        <v>0</v>
      </c>
      <c r="N672" s="3">
        <v>0</v>
      </c>
      <c r="O672" s="3">
        <v>2</v>
      </c>
      <c r="P672" s="18"/>
      <c r="Q672" s="18"/>
      <c r="R672" s="18"/>
      <c r="S672" s="3"/>
      <c r="T672" s="3">
        <v>0</v>
      </c>
      <c r="U672" s="3">
        <v>-3</v>
      </c>
      <c r="V672" s="3">
        <v>2337180.2960000001</v>
      </c>
      <c r="W672" s="22"/>
      <c r="Z672" s="27">
        <f t="shared" si="10"/>
        <v>1</v>
      </c>
    </row>
    <row r="673" spans="1:27" ht="34" customHeight="1">
      <c r="A673" s="3" t="s">
        <v>1424</v>
      </c>
      <c r="B673" s="3" t="s">
        <v>1425</v>
      </c>
      <c r="C673" s="3" t="s">
        <v>1426</v>
      </c>
      <c r="D673" s="3" t="s">
        <v>22</v>
      </c>
      <c r="E673" s="3" t="s">
        <v>23</v>
      </c>
      <c r="F673" s="25"/>
      <c r="G673" s="3">
        <v>1</v>
      </c>
      <c r="H673" s="3">
        <v>5</v>
      </c>
      <c r="I673" s="3">
        <v>0</v>
      </c>
      <c r="J673" s="3">
        <v>4</v>
      </c>
      <c r="K673" s="3">
        <v>0</v>
      </c>
      <c r="L673" s="3">
        <v>0</v>
      </c>
      <c r="M673" s="3">
        <v>0</v>
      </c>
      <c r="N673" s="3">
        <v>1</v>
      </c>
      <c r="O673" s="3">
        <v>0</v>
      </c>
      <c r="P673" s="18"/>
      <c r="Q673" s="18"/>
      <c r="R673" s="18"/>
      <c r="S673" s="3"/>
      <c r="T673" s="3">
        <v>-1</v>
      </c>
      <c r="U673" s="3">
        <v>-1</v>
      </c>
      <c r="V673" s="3">
        <v>2505910.5</v>
      </c>
      <c r="W673" s="22"/>
      <c r="Z673" s="27">
        <f t="shared" si="10"/>
        <v>4</v>
      </c>
    </row>
    <row r="674" spans="1:27" ht="34" customHeight="1">
      <c r="A674" s="3" t="s">
        <v>1424</v>
      </c>
      <c r="B674" s="3" t="s">
        <v>1427</v>
      </c>
      <c r="C674" s="3" t="s">
        <v>1428</v>
      </c>
      <c r="D674" s="3" t="s">
        <v>22</v>
      </c>
      <c r="E674" s="3" t="s">
        <v>23</v>
      </c>
      <c r="F674" s="25"/>
      <c r="G674" s="3">
        <v>2</v>
      </c>
      <c r="H674" s="3">
        <v>10</v>
      </c>
      <c r="I674" s="3">
        <v>0</v>
      </c>
      <c r="J674" s="3">
        <v>2</v>
      </c>
      <c r="K674" s="3">
        <v>0</v>
      </c>
      <c r="L674" s="3">
        <v>0</v>
      </c>
      <c r="M674" s="3">
        <v>1</v>
      </c>
      <c r="N674" s="3">
        <v>0</v>
      </c>
      <c r="O674" s="3">
        <v>8</v>
      </c>
      <c r="P674" s="18"/>
      <c r="Q674" s="18"/>
      <c r="R674" s="18"/>
      <c r="S674" s="3"/>
      <c r="T674" s="3">
        <v>-1</v>
      </c>
      <c r="U674" s="3">
        <v>-8</v>
      </c>
      <c r="V674" s="3">
        <v>1308351.402</v>
      </c>
      <c r="W674" s="22"/>
      <c r="Z674" s="27">
        <f t="shared" si="10"/>
        <v>1</v>
      </c>
    </row>
    <row r="675" spans="1:27" ht="34" customHeight="1">
      <c r="A675" s="3" t="s">
        <v>309</v>
      </c>
      <c r="B675" s="3" t="s">
        <v>1429</v>
      </c>
      <c r="C675" s="3" t="s">
        <v>1394</v>
      </c>
      <c r="D675" s="3" t="s">
        <v>22</v>
      </c>
      <c r="E675" s="3" t="s">
        <v>23</v>
      </c>
      <c r="F675" s="25"/>
      <c r="G675" s="3">
        <v>1</v>
      </c>
      <c r="H675" s="3">
        <v>3</v>
      </c>
      <c r="I675" s="3">
        <v>0</v>
      </c>
      <c r="J675" s="3">
        <v>3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18"/>
      <c r="Q675" s="18"/>
      <c r="R675" s="18"/>
      <c r="S675" s="3"/>
      <c r="T675" s="3"/>
      <c r="U675" s="3"/>
      <c r="V675" s="3">
        <v>13612636.4</v>
      </c>
      <c r="W675" s="22"/>
      <c r="Z675" s="27">
        <f t="shared" si="10"/>
        <v>3</v>
      </c>
    </row>
    <row r="676" spans="1:27" ht="34" customHeight="1">
      <c r="A676" s="3" t="s">
        <v>1417</v>
      </c>
      <c r="B676" s="3" t="s">
        <v>1430</v>
      </c>
      <c r="C676" s="3" t="s">
        <v>1422</v>
      </c>
      <c r="D676" s="3" t="s">
        <v>22</v>
      </c>
      <c r="E676" s="3" t="s">
        <v>23</v>
      </c>
      <c r="F676" s="25"/>
      <c r="G676" s="3">
        <v>1</v>
      </c>
      <c r="H676" s="3">
        <v>5</v>
      </c>
      <c r="I676" s="3">
        <v>0</v>
      </c>
      <c r="J676" s="3">
        <v>4</v>
      </c>
      <c r="K676" s="3">
        <v>0</v>
      </c>
      <c r="L676" s="3">
        <v>0</v>
      </c>
      <c r="M676" s="3">
        <v>0</v>
      </c>
      <c r="N676" s="3">
        <v>0</v>
      </c>
      <c r="O676" s="3">
        <v>1</v>
      </c>
      <c r="P676" s="18"/>
      <c r="Q676" s="18"/>
      <c r="R676" s="18"/>
      <c r="S676" s="3"/>
      <c r="T676" s="3">
        <v>0</v>
      </c>
      <c r="U676" s="3">
        <v>-2</v>
      </c>
      <c r="V676" s="3">
        <v>31612209.174000002</v>
      </c>
      <c r="W676" s="22"/>
      <c r="Z676" s="27">
        <f t="shared" si="10"/>
        <v>4</v>
      </c>
    </row>
    <row r="677" spans="1:27" ht="34" customHeight="1">
      <c r="A677" s="3" t="s">
        <v>1431</v>
      </c>
      <c r="B677" s="3" t="s">
        <v>1432</v>
      </c>
      <c r="C677" s="3" t="s">
        <v>1433</v>
      </c>
      <c r="D677" s="3" t="s">
        <v>22</v>
      </c>
      <c r="E677" s="3" t="s">
        <v>91</v>
      </c>
      <c r="F677" s="25"/>
      <c r="G677" s="3">
        <v>1</v>
      </c>
      <c r="H677" s="3">
        <v>3</v>
      </c>
      <c r="I677" s="3">
        <v>0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18"/>
      <c r="Q677" s="18"/>
      <c r="R677" s="18"/>
      <c r="S677" s="3"/>
      <c r="T677" s="3"/>
      <c r="U677" s="3"/>
      <c r="V677" s="3">
        <v>14017752.32</v>
      </c>
      <c r="W677" s="22"/>
      <c r="Z677" s="27">
        <f t="shared" si="10"/>
        <v>1</v>
      </c>
    </row>
    <row r="678" spans="1:27" ht="23" customHeight="1">
      <c r="A678" s="3" t="s">
        <v>19</v>
      </c>
      <c r="B678" s="3" t="s">
        <v>1434</v>
      </c>
      <c r="C678" s="3" t="s">
        <v>1435</v>
      </c>
      <c r="D678" s="3" t="s">
        <v>22</v>
      </c>
      <c r="E678" s="3" t="s">
        <v>23</v>
      </c>
      <c r="F678" s="25"/>
      <c r="G678" s="3">
        <v>6</v>
      </c>
      <c r="H678" s="3">
        <v>12</v>
      </c>
      <c r="I678" s="3">
        <v>0</v>
      </c>
      <c r="J678" s="3">
        <v>9</v>
      </c>
      <c r="K678" s="3">
        <v>0</v>
      </c>
      <c r="L678" s="3">
        <v>0</v>
      </c>
      <c r="M678" s="3">
        <v>0</v>
      </c>
      <c r="N678" s="3">
        <v>0</v>
      </c>
      <c r="O678" s="3">
        <v>3</v>
      </c>
      <c r="P678" s="18"/>
      <c r="Q678" s="18"/>
      <c r="R678" s="18"/>
      <c r="S678" s="3"/>
      <c r="T678" s="3">
        <v>0</v>
      </c>
      <c r="U678" s="3">
        <v>-8</v>
      </c>
      <c r="V678" s="3">
        <v>251400.33999999997</v>
      </c>
      <c r="W678" s="22"/>
      <c r="Z678" s="27">
        <f t="shared" si="10"/>
        <v>1.5</v>
      </c>
    </row>
    <row r="679" spans="1:27" ht="23" customHeight="1">
      <c r="A679" s="3" t="s">
        <v>1164</v>
      </c>
      <c r="B679" s="3" t="s">
        <v>1436</v>
      </c>
      <c r="C679" s="3" t="s">
        <v>1170</v>
      </c>
      <c r="D679" s="3" t="s">
        <v>22</v>
      </c>
      <c r="E679" s="3" t="s">
        <v>23</v>
      </c>
      <c r="F679" s="25"/>
      <c r="G679" s="3">
        <v>1</v>
      </c>
      <c r="H679" s="3">
        <v>1</v>
      </c>
      <c r="I679" s="3">
        <v>0</v>
      </c>
      <c r="J679" s="3">
        <v>1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18"/>
      <c r="Q679" s="18"/>
      <c r="R679" s="18"/>
      <c r="S679" s="3"/>
      <c r="T679" s="3"/>
      <c r="U679" s="3"/>
      <c r="V679" s="3">
        <v>0</v>
      </c>
      <c r="W679" s="22"/>
      <c r="Z679" s="27">
        <f t="shared" si="10"/>
        <v>1</v>
      </c>
    </row>
    <row r="680" spans="1:27" ht="20" customHeight="1">
      <c r="A680" s="3" t="s">
        <v>1437</v>
      </c>
      <c r="B680" s="3" t="s">
        <v>1438</v>
      </c>
      <c r="C680" s="3" t="s">
        <v>1439</v>
      </c>
      <c r="D680" s="3" t="s">
        <v>22</v>
      </c>
      <c r="E680" s="3" t="s">
        <v>91</v>
      </c>
      <c r="F680" s="25"/>
      <c r="G680" s="3">
        <v>1</v>
      </c>
      <c r="H680" s="3">
        <v>10</v>
      </c>
      <c r="I680" s="3">
        <v>0</v>
      </c>
      <c r="J680" s="3">
        <v>4</v>
      </c>
      <c r="K680" s="3">
        <v>1</v>
      </c>
      <c r="L680" s="3">
        <v>0</v>
      </c>
      <c r="M680" s="3">
        <v>0</v>
      </c>
      <c r="N680" s="3">
        <v>1</v>
      </c>
      <c r="O680" s="3">
        <v>4</v>
      </c>
      <c r="P680" s="18"/>
      <c r="Q680" s="18"/>
      <c r="R680" s="18"/>
      <c r="S680" s="3">
        <v>1</v>
      </c>
      <c r="T680" s="3">
        <v>0</v>
      </c>
      <c r="U680" s="3">
        <v>-7</v>
      </c>
      <c r="V680" s="3">
        <v>8950000</v>
      </c>
      <c r="W680" s="22"/>
      <c r="Z680" s="27">
        <f t="shared" si="10"/>
        <v>4</v>
      </c>
    </row>
    <row r="681" spans="1:27" ht="34" customHeight="1">
      <c r="A681" s="3" t="s">
        <v>1431</v>
      </c>
      <c r="B681" s="3" t="s">
        <v>1440</v>
      </c>
      <c r="C681" s="3" t="s">
        <v>1441</v>
      </c>
      <c r="D681" s="3" t="s">
        <v>22</v>
      </c>
      <c r="E681" s="3" t="s">
        <v>23</v>
      </c>
      <c r="F681" s="25"/>
      <c r="G681" s="3">
        <v>2</v>
      </c>
      <c r="H681" s="3">
        <v>3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3</v>
      </c>
      <c r="P681" s="18"/>
      <c r="Q681" s="18"/>
      <c r="R681" s="18"/>
      <c r="S681" s="3">
        <v>1</v>
      </c>
      <c r="T681" s="3">
        <v>-1</v>
      </c>
      <c r="U681" s="3">
        <v>-4</v>
      </c>
      <c r="V681" s="3">
        <v>0</v>
      </c>
      <c r="W681" s="22"/>
      <c r="Z681" s="27">
        <f t="shared" si="10"/>
        <v>0</v>
      </c>
      <c r="AA681" s="19">
        <v>1</v>
      </c>
    </row>
    <row r="682" spans="1:27" ht="20" customHeight="1">
      <c r="A682" s="3" t="s">
        <v>312</v>
      </c>
      <c r="B682" s="3" t="s">
        <v>1442</v>
      </c>
      <c r="C682" s="3" t="s">
        <v>722</v>
      </c>
      <c r="D682" s="3" t="s">
        <v>22</v>
      </c>
      <c r="E682" s="3" t="s">
        <v>23</v>
      </c>
      <c r="F682" s="25"/>
      <c r="G682" s="3">
        <v>4</v>
      </c>
      <c r="H682" s="3">
        <v>8</v>
      </c>
      <c r="I682" s="3">
        <v>0</v>
      </c>
      <c r="J682" s="3">
        <v>4</v>
      </c>
      <c r="K682" s="3">
        <v>0</v>
      </c>
      <c r="L682" s="3">
        <v>0</v>
      </c>
      <c r="M682" s="3">
        <v>0</v>
      </c>
      <c r="N682" s="3">
        <v>2</v>
      </c>
      <c r="O682" s="3">
        <v>2</v>
      </c>
      <c r="P682" s="18"/>
      <c r="Q682" s="18"/>
      <c r="R682" s="18"/>
      <c r="S682" s="3"/>
      <c r="T682" s="3">
        <v>-2</v>
      </c>
      <c r="U682" s="3">
        <v>-4</v>
      </c>
      <c r="V682" s="3">
        <v>0</v>
      </c>
      <c r="W682" s="22"/>
      <c r="Z682" s="27">
        <f t="shared" si="10"/>
        <v>1</v>
      </c>
    </row>
    <row r="683" spans="1:27" ht="23" customHeight="1">
      <c r="A683" s="3" t="s">
        <v>312</v>
      </c>
      <c r="B683" s="3" t="s">
        <v>1443</v>
      </c>
      <c r="C683" s="3" t="s">
        <v>1444</v>
      </c>
      <c r="D683" s="3" t="s">
        <v>22</v>
      </c>
      <c r="E683" s="3" t="s">
        <v>23</v>
      </c>
      <c r="F683" s="25"/>
      <c r="G683" s="3">
        <v>4</v>
      </c>
      <c r="H683" s="3">
        <v>24</v>
      </c>
      <c r="I683" s="3">
        <v>0</v>
      </c>
      <c r="J683" s="3">
        <v>16</v>
      </c>
      <c r="K683" s="3">
        <v>0</v>
      </c>
      <c r="L683" s="3">
        <v>0</v>
      </c>
      <c r="M683" s="3">
        <v>0</v>
      </c>
      <c r="N683" s="3">
        <v>3</v>
      </c>
      <c r="O683" s="3">
        <v>5</v>
      </c>
      <c r="P683" s="18"/>
      <c r="Q683" s="18"/>
      <c r="R683" s="18"/>
      <c r="S683" s="3"/>
      <c r="T683" s="3">
        <v>-1</v>
      </c>
      <c r="U683" s="3">
        <v>-18</v>
      </c>
      <c r="V683" s="3">
        <v>12379500.558</v>
      </c>
      <c r="W683" s="22"/>
      <c r="Z683" s="27">
        <f t="shared" si="10"/>
        <v>4</v>
      </c>
    </row>
    <row r="684" spans="1:27" ht="20" customHeight="1">
      <c r="A684" s="3" t="s">
        <v>1445</v>
      </c>
      <c r="B684" s="3" t="s">
        <v>1446</v>
      </c>
      <c r="C684" s="3" t="s">
        <v>1447</v>
      </c>
      <c r="D684" s="3" t="s">
        <v>22</v>
      </c>
      <c r="E684" s="3" t="s">
        <v>23</v>
      </c>
      <c r="F684" s="25"/>
      <c r="G684" s="3">
        <v>1</v>
      </c>
      <c r="H684" s="3">
        <v>2</v>
      </c>
      <c r="I684" s="3">
        <v>0</v>
      </c>
      <c r="J684" s="3">
        <v>2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18"/>
      <c r="Q684" s="18"/>
      <c r="R684" s="18"/>
      <c r="S684" s="3"/>
      <c r="T684" s="3"/>
      <c r="U684" s="3"/>
      <c r="V684" s="3"/>
      <c r="W684" s="22"/>
      <c r="Z684" s="27">
        <f t="shared" si="10"/>
        <v>2</v>
      </c>
    </row>
    <row r="685" spans="1:27" ht="20" customHeight="1">
      <c r="A685" s="3" t="s">
        <v>1306</v>
      </c>
      <c r="B685" s="3" t="s">
        <v>1448</v>
      </c>
      <c r="C685" s="3" t="s">
        <v>1449</v>
      </c>
      <c r="D685" s="3" t="s">
        <v>22</v>
      </c>
      <c r="E685" s="3" t="s">
        <v>23</v>
      </c>
      <c r="F685" s="25"/>
      <c r="G685" s="3">
        <v>2</v>
      </c>
      <c r="H685" s="3">
        <v>5</v>
      </c>
      <c r="I685" s="3">
        <v>0</v>
      </c>
      <c r="J685" s="3">
        <v>5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18"/>
      <c r="Q685" s="18"/>
      <c r="R685" s="18"/>
      <c r="S685" s="3"/>
      <c r="T685" s="3">
        <v>0</v>
      </c>
      <c r="U685" s="3">
        <v>-2</v>
      </c>
      <c r="V685" s="3">
        <v>21900</v>
      </c>
      <c r="W685" s="22"/>
      <c r="Z685" s="27">
        <f t="shared" si="10"/>
        <v>2.5</v>
      </c>
    </row>
    <row r="686" spans="1:27" ht="23" customHeight="1">
      <c r="A686" s="3" t="s">
        <v>540</v>
      </c>
      <c r="B686" s="3" t="s">
        <v>1450</v>
      </c>
      <c r="C686" s="3" t="s">
        <v>1451</v>
      </c>
      <c r="D686" s="3" t="s">
        <v>22</v>
      </c>
      <c r="E686" s="3" t="s">
        <v>23</v>
      </c>
      <c r="F686" s="25"/>
      <c r="G686" s="3">
        <v>32</v>
      </c>
      <c r="H686" s="3">
        <v>72</v>
      </c>
      <c r="I686" s="3">
        <v>0</v>
      </c>
      <c r="J686" s="3">
        <v>38</v>
      </c>
      <c r="K686" s="3">
        <v>6</v>
      </c>
      <c r="L686" s="3">
        <v>0</v>
      </c>
      <c r="M686" s="3">
        <v>0</v>
      </c>
      <c r="N686" s="3">
        <v>24</v>
      </c>
      <c r="O686" s="3">
        <v>4</v>
      </c>
      <c r="P686" s="18"/>
      <c r="Q686" s="18"/>
      <c r="R686" s="18"/>
      <c r="S686" s="3"/>
      <c r="T686" s="3">
        <v>-24</v>
      </c>
      <c r="U686" s="3">
        <v>-305</v>
      </c>
      <c r="V686" s="3">
        <v>1479742.8279166666</v>
      </c>
      <c r="W686" s="22"/>
      <c r="Z686" s="27">
        <f t="shared" si="10"/>
        <v>1.1875</v>
      </c>
    </row>
    <row r="687" spans="1:27" ht="23" customHeight="1">
      <c r="A687" s="3" t="s">
        <v>1306</v>
      </c>
      <c r="B687" s="3" t="s">
        <v>1452</v>
      </c>
      <c r="C687" s="3" t="s">
        <v>1453</v>
      </c>
      <c r="D687" s="3" t="s">
        <v>22</v>
      </c>
      <c r="E687" s="3" t="s">
        <v>23</v>
      </c>
      <c r="F687" s="25"/>
      <c r="G687" s="3">
        <v>1</v>
      </c>
      <c r="H687" s="3">
        <v>4</v>
      </c>
      <c r="I687" s="3">
        <v>0</v>
      </c>
      <c r="J687" s="3">
        <v>3</v>
      </c>
      <c r="K687" s="3">
        <v>1</v>
      </c>
      <c r="L687" s="3">
        <v>0</v>
      </c>
      <c r="M687" s="3">
        <v>0</v>
      </c>
      <c r="N687" s="3">
        <v>0</v>
      </c>
      <c r="O687" s="3">
        <v>0</v>
      </c>
      <c r="P687" s="18"/>
      <c r="Q687" s="18"/>
      <c r="R687" s="18"/>
      <c r="S687" s="3"/>
      <c r="T687" s="3">
        <v>0</v>
      </c>
      <c r="U687" s="3">
        <v>-1</v>
      </c>
      <c r="V687" s="3">
        <v>136486.16666666666</v>
      </c>
      <c r="W687" s="22"/>
      <c r="Z687" s="27">
        <f t="shared" si="10"/>
        <v>3</v>
      </c>
    </row>
    <row r="688" spans="1:27" ht="23" customHeight="1">
      <c r="A688" s="3" t="s">
        <v>678</v>
      </c>
      <c r="B688" s="3" t="s">
        <v>1454</v>
      </c>
      <c r="C688" s="3" t="s">
        <v>1455</v>
      </c>
      <c r="D688" s="3" t="s">
        <v>30</v>
      </c>
      <c r="E688" s="3" t="s">
        <v>23</v>
      </c>
      <c r="F688" s="25"/>
      <c r="G688" s="3">
        <v>2</v>
      </c>
      <c r="H688" s="3">
        <v>12</v>
      </c>
      <c r="I688" s="3">
        <v>0</v>
      </c>
      <c r="J688" s="3">
        <v>10</v>
      </c>
      <c r="K688" s="3">
        <v>0</v>
      </c>
      <c r="L688" s="3">
        <v>0</v>
      </c>
      <c r="M688" s="3">
        <v>0</v>
      </c>
      <c r="N688" s="3">
        <v>0</v>
      </c>
      <c r="O688" s="3">
        <v>2</v>
      </c>
      <c r="P688" s="18"/>
      <c r="Q688" s="18"/>
      <c r="R688" s="18"/>
      <c r="S688" s="3"/>
      <c r="T688" s="3">
        <v>0</v>
      </c>
      <c r="U688" s="3">
        <v>-4</v>
      </c>
      <c r="V688" s="3">
        <v>238520.46160978262</v>
      </c>
      <c r="W688" s="22"/>
      <c r="Z688" s="27">
        <f t="shared" si="10"/>
        <v>5</v>
      </c>
    </row>
    <row r="689" spans="1:26" ht="23" customHeight="1">
      <c r="A689" s="3" t="s">
        <v>1306</v>
      </c>
      <c r="B689" s="3" t="s">
        <v>1456</v>
      </c>
      <c r="C689" s="3" t="s">
        <v>1457</v>
      </c>
      <c r="D689" s="3" t="s">
        <v>22</v>
      </c>
      <c r="E689" s="3" t="s">
        <v>23</v>
      </c>
      <c r="F689" s="25"/>
      <c r="G689" s="3">
        <v>2</v>
      </c>
      <c r="H689" s="3">
        <v>6</v>
      </c>
      <c r="I689" s="3">
        <v>0</v>
      </c>
      <c r="J689" s="3">
        <v>6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18"/>
      <c r="Q689" s="18"/>
      <c r="R689" s="18"/>
      <c r="S689" s="3"/>
      <c r="T689" s="3">
        <v>0</v>
      </c>
      <c r="U689" s="3">
        <v>-1</v>
      </c>
      <c r="V689" s="3">
        <v>2687838.3425000003</v>
      </c>
      <c r="W689" s="22"/>
      <c r="Z689" s="27">
        <f t="shared" si="10"/>
        <v>3</v>
      </c>
    </row>
    <row r="690" spans="1:26" ht="23" customHeight="1">
      <c r="A690" s="3" t="s">
        <v>678</v>
      </c>
      <c r="B690" s="3" t="s">
        <v>1458</v>
      </c>
      <c r="C690" s="3" t="s">
        <v>1459</v>
      </c>
      <c r="D690" s="3" t="s">
        <v>30</v>
      </c>
      <c r="E690" s="3" t="s">
        <v>23</v>
      </c>
      <c r="F690" s="25"/>
      <c r="G690" s="3">
        <v>1</v>
      </c>
      <c r="H690" s="3">
        <v>5</v>
      </c>
      <c r="I690" s="3">
        <v>0</v>
      </c>
      <c r="J690" s="3">
        <v>4</v>
      </c>
      <c r="K690" s="3">
        <v>0</v>
      </c>
      <c r="L690" s="3">
        <v>0</v>
      </c>
      <c r="M690" s="3">
        <v>0</v>
      </c>
      <c r="N690" s="3">
        <v>0</v>
      </c>
      <c r="O690" s="3">
        <v>1</v>
      </c>
      <c r="P690" s="18"/>
      <c r="Q690" s="18"/>
      <c r="R690" s="18"/>
      <c r="S690" s="3"/>
      <c r="T690" s="3">
        <v>0</v>
      </c>
      <c r="U690" s="3">
        <v>-4</v>
      </c>
      <c r="V690" s="3"/>
      <c r="W690" s="22"/>
      <c r="Z690" s="27">
        <f t="shared" si="10"/>
        <v>4</v>
      </c>
    </row>
    <row r="691" spans="1:26" ht="23" customHeight="1">
      <c r="A691" s="3" t="s">
        <v>540</v>
      </c>
      <c r="B691" s="3" t="s">
        <v>1460</v>
      </c>
      <c r="C691" s="3" t="s">
        <v>1461</v>
      </c>
      <c r="D691" s="3" t="s">
        <v>22</v>
      </c>
      <c r="E691" s="3" t="s">
        <v>23</v>
      </c>
      <c r="F691" s="25"/>
      <c r="G691" s="3">
        <v>16</v>
      </c>
      <c r="H691" s="3">
        <v>28</v>
      </c>
      <c r="I691" s="3">
        <v>0</v>
      </c>
      <c r="J691" s="3">
        <v>18</v>
      </c>
      <c r="K691" s="3">
        <v>1</v>
      </c>
      <c r="L691" s="3">
        <v>0</v>
      </c>
      <c r="M691" s="3">
        <v>0</v>
      </c>
      <c r="N691" s="3">
        <v>0</v>
      </c>
      <c r="O691" s="3">
        <v>9</v>
      </c>
      <c r="P691" s="18"/>
      <c r="Q691" s="18"/>
      <c r="R691" s="18"/>
      <c r="S691" s="3"/>
      <c r="T691" s="3">
        <v>-12</v>
      </c>
      <c r="U691" s="3">
        <v>-173</v>
      </c>
      <c r="V691" s="3">
        <v>3101608.1500000004</v>
      </c>
      <c r="W691" s="22"/>
      <c r="Z691" s="27">
        <f t="shared" si="10"/>
        <v>1.125</v>
      </c>
    </row>
    <row r="692" spans="1:26" ht="20" customHeight="1">
      <c r="A692" s="3" t="s">
        <v>1306</v>
      </c>
      <c r="B692" s="3" t="s">
        <v>1462</v>
      </c>
      <c r="C692" s="3" t="s">
        <v>1463</v>
      </c>
      <c r="D692" s="3" t="s">
        <v>22</v>
      </c>
      <c r="E692" s="3" t="s">
        <v>23</v>
      </c>
      <c r="F692" s="25"/>
      <c r="G692" s="3">
        <v>11</v>
      </c>
      <c r="H692" s="3">
        <v>23</v>
      </c>
      <c r="I692" s="3">
        <v>0</v>
      </c>
      <c r="J692" s="3">
        <v>19</v>
      </c>
      <c r="K692" s="3">
        <v>0</v>
      </c>
      <c r="L692" s="3">
        <v>0</v>
      </c>
      <c r="M692" s="3">
        <v>0</v>
      </c>
      <c r="N692" s="3">
        <v>2</v>
      </c>
      <c r="O692" s="3">
        <v>2</v>
      </c>
      <c r="P692" s="18"/>
      <c r="Q692" s="18"/>
      <c r="R692" s="18"/>
      <c r="S692" s="3">
        <v>3</v>
      </c>
      <c r="T692" s="3">
        <v>-2</v>
      </c>
      <c r="U692" s="3">
        <v>-40</v>
      </c>
      <c r="V692" s="3"/>
      <c r="W692" s="22"/>
      <c r="Z692" s="27">
        <f t="shared" si="10"/>
        <v>1.7272727272727273</v>
      </c>
    </row>
    <row r="693" spans="1:26" ht="20" customHeight="1">
      <c r="A693" s="3" t="s">
        <v>1306</v>
      </c>
      <c r="B693" s="3" t="s">
        <v>1464</v>
      </c>
      <c r="C693" s="3" t="s">
        <v>1463</v>
      </c>
      <c r="D693" s="3" t="s">
        <v>22</v>
      </c>
      <c r="E693" s="3" t="s">
        <v>91</v>
      </c>
      <c r="F693" s="25"/>
      <c r="G693" s="3">
        <v>17</v>
      </c>
      <c r="H693" s="3">
        <v>137</v>
      </c>
      <c r="I693" s="3">
        <v>0</v>
      </c>
      <c r="J693" s="3">
        <v>37</v>
      </c>
      <c r="K693" s="3">
        <v>0</v>
      </c>
      <c r="L693" s="3">
        <v>0</v>
      </c>
      <c r="M693" s="3">
        <v>0</v>
      </c>
      <c r="N693" s="3">
        <v>98</v>
      </c>
      <c r="O693" s="3">
        <v>2</v>
      </c>
      <c r="P693" s="18"/>
      <c r="Q693" s="18"/>
      <c r="R693" s="18"/>
      <c r="S693" s="3">
        <v>2</v>
      </c>
      <c r="T693" s="3">
        <v>-11</v>
      </c>
      <c r="U693" s="3">
        <v>-145</v>
      </c>
      <c r="V693" s="3"/>
      <c r="W693" s="22"/>
      <c r="Z693" s="27">
        <f t="shared" si="10"/>
        <v>2.1764705882352939</v>
      </c>
    </row>
    <row r="694" spans="1:26" ht="23" customHeight="1">
      <c r="A694" s="3" t="s">
        <v>469</v>
      </c>
      <c r="B694" s="3" t="s">
        <v>1465</v>
      </c>
      <c r="C694" s="3" t="s">
        <v>1466</v>
      </c>
      <c r="D694" s="3" t="s">
        <v>22</v>
      </c>
      <c r="E694" s="3" t="s">
        <v>23</v>
      </c>
      <c r="F694" s="25"/>
      <c r="G694" s="3">
        <v>1</v>
      </c>
      <c r="H694" s="3">
        <v>2</v>
      </c>
      <c r="I694" s="3">
        <v>0</v>
      </c>
      <c r="J694" s="3">
        <v>2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18"/>
      <c r="Q694" s="18"/>
      <c r="R694" s="18"/>
      <c r="S694" s="3"/>
      <c r="T694" s="3"/>
      <c r="U694" s="3"/>
      <c r="V694" s="3"/>
      <c r="W694" s="22"/>
      <c r="Z694" s="27">
        <f t="shared" si="10"/>
        <v>2</v>
      </c>
    </row>
    <row r="695" spans="1:26" ht="23" customHeight="1">
      <c r="A695" s="3" t="s">
        <v>575</v>
      </c>
      <c r="B695" s="3" t="s">
        <v>1467</v>
      </c>
      <c r="C695" s="3" t="s">
        <v>1468</v>
      </c>
      <c r="D695" s="3" t="s">
        <v>22</v>
      </c>
      <c r="E695" s="3" t="s">
        <v>23</v>
      </c>
      <c r="F695" s="25"/>
      <c r="G695" s="3">
        <v>1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1</v>
      </c>
      <c r="P695" s="18"/>
      <c r="Q695" s="18"/>
      <c r="R695" s="18"/>
      <c r="S695" s="3"/>
      <c r="T695" s="3">
        <v>0</v>
      </c>
      <c r="U695" s="3">
        <v>-1</v>
      </c>
      <c r="V695" s="3">
        <v>407419.74</v>
      </c>
      <c r="W695" s="22"/>
      <c r="Z695" s="27">
        <f t="shared" si="10"/>
        <v>0</v>
      </c>
    </row>
    <row r="696" spans="1:26" ht="20" customHeight="1">
      <c r="A696" s="3" t="s">
        <v>575</v>
      </c>
      <c r="B696" s="3" t="s">
        <v>1469</v>
      </c>
      <c r="C696" s="3" t="s">
        <v>1470</v>
      </c>
      <c r="D696" s="3" t="s">
        <v>22</v>
      </c>
      <c r="E696" s="3" t="s">
        <v>23</v>
      </c>
      <c r="F696" s="25"/>
      <c r="G696" s="3">
        <v>1</v>
      </c>
      <c r="H696" s="3">
        <v>2</v>
      </c>
      <c r="I696" s="3">
        <v>0</v>
      </c>
      <c r="J696" s="3">
        <v>2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18"/>
      <c r="Q696" s="18"/>
      <c r="R696" s="18"/>
      <c r="S696" s="3"/>
      <c r="T696" s="3"/>
      <c r="U696" s="3"/>
      <c r="V696" s="3">
        <v>484265</v>
      </c>
      <c r="W696" s="22"/>
      <c r="Z696" s="27">
        <f t="shared" si="10"/>
        <v>2</v>
      </c>
    </row>
    <row r="697" spans="1:26" ht="23" customHeight="1">
      <c r="A697" s="3" t="s">
        <v>1306</v>
      </c>
      <c r="B697" s="3" t="s">
        <v>1471</v>
      </c>
      <c r="C697" s="3" t="s">
        <v>1472</v>
      </c>
      <c r="D697" s="3" t="s">
        <v>22</v>
      </c>
      <c r="E697" s="3" t="s">
        <v>23</v>
      </c>
      <c r="F697" s="25"/>
      <c r="G697" s="3">
        <v>1</v>
      </c>
      <c r="H697" s="3">
        <v>1</v>
      </c>
      <c r="I697" s="3">
        <v>0</v>
      </c>
      <c r="J697" s="3">
        <v>1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18"/>
      <c r="Q697" s="18"/>
      <c r="R697" s="18"/>
      <c r="S697" s="3"/>
      <c r="T697" s="3"/>
      <c r="U697" s="3"/>
      <c r="V697" s="3"/>
      <c r="W697" s="22"/>
      <c r="Z697" s="27">
        <f t="shared" si="10"/>
        <v>1</v>
      </c>
    </row>
    <row r="698" spans="1:26" ht="23" customHeight="1">
      <c r="A698" s="3" t="s">
        <v>555</v>
      </c>
      <c r="B698" s="3" t="s">
        <v>1473</v>
      </c>
      <c r="C698" s="3" t="s">
        <v>1474</v>
      </c>
      <c r="D698" s="3" t="s">
        <v>30</v>
      </c>
      <c r="E698" s="3" t="s">
        <v>23</v>
      </c>
      <c r="F698" s="25"/>
      <c r="G698" s="3">
        <v>1</v>
      </c>
      <c r="H698" s="3">
        <v>2</v>
      </c>
      <c r="I698" s="3">
        <v>0</v>
      </c>
      <c r="J698" s="3">
        <v>2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18"/>
      <c r="Q698" s="18"/>
      <c r="R698" s="18"/>
      <c r="S698" s="3"/>
      <c r="T698" s="3"/>
      <c r="U698" s="3"/>
      <c r="V698" s="3">
        <v>364317</v>
      </c>
      <c r="W698" s="22"/>
      <c r="Z698" s="27">
        <f t="shared" si="10"/>
        <v>2</v>
      </c>
    </row>
    <row r="699" spans="1:26" ht="23" customHeight="1">
      <c r="A699" s="3" t="s">
        <v>1445</v>
      </c>
      <c r="B699" s="3" t="s">
        <v>1475</v>
      </c>
      <c r="C699" s="3" t="s">
        <v>1301</v>
      </c>
      <c r="D699" s="3" t="s">
        <v>22</v>
      </c>
      <c r="E699" s="3" t="s">
        <v>23</v>
      </c>
      <c r="F699" s="25"/>
      <c r="G699" s="3">
        <v>2</v>
      </c>
      <c r="H699" s="3">
        <v>3</v>
      </c>
      <c r="I699" s="3">
        <v>0</v>
      </c>
      <c r="J699" s="3">
        <v>3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18"/>
      <c r="Q699" s="18"/>
      <c r="R699" s="18"/>
      <c r="S699" s="3"/>
      <c r="T699" s="3"/>
      <c r="U699" s="3"/>
      <c r="V699" s="3">
        <v>406926.3</v>
      </c>
      <c r="W699" s="22"/>
      <c r="Z699" s="27">
        <f t="shared" si="10"/>
        <v>1.5</v>
      </c>
    </row>
    <row r="700" spans="1:26" ht="23" customHeight="1">
      <c r="A700" s="3" t="s">
        <v>147</v>
      </c>
      <c r="B700" s="3" t="s">
        <v>1476</v>
      </c>
      <c r="C700" s="3" t="s">
        <v>1477</v>
      </c>
      <c r="D700" s="3" t="s">
        <v>22</v>
      </c>
      <c r="E700" s="3" t="s">
        <v>23</v>
      </c>
      <c r="F700" s="25"/>
      <c r="G700" s="3">
        <v>1</v>
      </c>
      <c r="H700" s="3">
        <v>2</v>
      </c>
      <c r="I700" s="3">
        <v>0</v>
      </c>
      <c r="J700" s="3">
        <v>2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18"/>
      <c r="Q700" s="18"/>
      <c r="R700" s="18"/>
      <c r="S700" s="3"/>
      <c r="T700" s="3">
        <v>0</v>
      </c>
      <c r="U700" s="3">
        <v>-1</v>
      </c>
      <c r="V700" s="3">
        <v>550542.22</v>
      </c>
      <c r="W700" s="22"/>
      <c r="Z700" s="27">
        <f t="shared" si="10"/>
        <v>2</v>
      </c>
    </row>
    <row r="701" spans="1:26" ht="34" customHeight="1">
      <c r="A701" s="3" t="s">
        <v>1478</v>
      </c>
      <c r="B701" s="3" t="s">
        <v>1479</v>
      </c>
      <c r="C701" s="3" t="s">
        <v>1480</v>
      </c>
      <c r="D701" s="3" t="s">
        <v>22</v>
      </c>
      <c r="E701" s="3" t="s">
        <v>23</v>
      </c>
      <c r="F701" s="25"/>
      <c r="G701" s="3">
        <v>1</v>
      </c>
      <c r="H701" s="3">
        <v>2</v>
      </c>
      <c r="I701" s="3">
        <v>0</v>
      </c>
      <c r="J701" s="3">
        <v>1</v>
      </c>
      <c r="K701" s="3">
        <v>0</v>
      </c>
      <c r="L701" s="3">
        <v>0</v>
      </c>
      <c r="M701" s="3">
        <v>0</v>
      </c>
      <c r="N701" s="3">
        <v>1</v>
      </c>
      <c r="O701" s="3">
        <v>0</v>
      </c>
      <c r="P701" s="18"/>
      <c r="Q701" s="18"/>
      <c r="R701" s="18"/>
      <c r="S701" s="3"/>
      <c r="T701" s="3">
        <v>-1</v>
      </c>
      <c r="U701" s="3">
        <v>-2</v>
      </c>
      <c r="V701" s="3"/>
      <c r="W701" s="22"/>
      <c r="Z701" s="27">
        <f t="shared" si="10"/>
        <v>1</v>
      </c>
    </row>
    <row r="702" spans="1:26" ht="20" customHeight="1">
      <c r="A702" s="3" t="s">
        <v>1478</v>
      </c>
      <c r="B702" s="3" t="s">
        <v>1481</v>
      </c>
      <c r="C702" s="3" t="s">
        <v>1482</v>
      </c>
      <c r="D702" s="3" t="s">
        <v>22</v>
      </c>
      <c r="E702" s="3" t="s">
        <v>23</v>
      </c>
      <c r="F702" s="25"/>
      <c r="G702" s="3">
        <v>2</v>
      </c>
      <c r="H702" s="3">
        <v>16</v>
      </c>
      <c r="I702" s="3">
        <v>0</v>
      </c>
      <c r="J702" s="3">
        <v>15</v>
      </c>
      <c r="K702" s="3">
        <v>0</v>
      </c>
      <c r="L702" s="3">
        <v>0</v>
      </c>
      <c r="M702" s="3">
        <v>0</v>
      </c>
      <c r="N702" s="3">
        <v>0</v>
      </c>
      <c r="O702" s="3">
        <v>1</v>
      </c>
      <c r="P702" s="18"/>
      <c r="Q702" s="18"/>
      <c r="R702" s="18"/>
      <c r="S702" s="3"/>
      <c r="T702" s="3">
        <v>0</v>
      </c>
      <c r="U702" s="3">
        <v>-4</v>
      </c>
      <c r="V702" s="3">
        <v>0</v>
      </c>
      <c r="W702" s="22"/>
      <c r="Z702" s="27">
        <f t="shared" si="10"/>
        <v>7.5</v>
      </c>
    </row>
    <row r="703" spans="1:26" ht="20" customHeight="1">
      <c r="A703" s="3" t="s">
        <v>1306</v>
      </c>
      <c r="B703" s="3" t="s">
        <v>1483</v>
      </c>
      <c r="C703" s="3" t="s">
        <v>305</v>
      </c>
      <c r="D703" s="3" t="s">
        <v>22</v>
      </c>
      <c r="E703" s="3" t="s">
        <v>23</v>
      </c>
      <c r="F703" s="25"/>
      <c r="G703" s="3">
        <v>1</v>
      </c>
      <c r="H703" s="3">
        <v>1</v>
      </c>
      <c r="I703" s="3">
        <v>0</v>
      </c>
      <c r="J703" s="3">
        <v>1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18"/>
      <c r="Q703" s="18"/>
      <c r="R703" s="18"/>
      <c r="S703" s="3"/>
      <c r="T703" s="3"/>
      <c r="U703" s="3"/>
      <c r="V703" s="3"/>
      <c r="W703" s="22"/>
      <c r="Z703" s="27">
        <f t="shared" si="10"/>
        <v>1</v>
      </c>
    </row>
    <row r="704" spans="1:26" ht="23" customHeight="1">
      <c r="A704" s="3" t="s">
        <v>1306</v>
      </c>
      <c r="B704" s="3" t="s">
        <v>1484</v>
      </c>
      <c r="C704" s="3" t="s">
        <v>305</v>
      </c>
      <c r="D704" s="3" t="s">
        <v>22</v>
      </c>
      <c r="E704" s="3" t="s">
        <v>23</v>
      </c>
      <c r="F704" s="25"/>
      <c r="G704" s="3">
        <v>1</v>
      </c>
      <c r="H704" s="3">
        <v>3</v>
      </c>
      <c r="I704" s="3">
        <v>0</v>
      </c>
      <c r="J704" s="3">
        <v>3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18"/>
      <c r="Q704" s="18"/>
      <c r="R704" s="18"/>
      <c r="S704" s="3"/>
      <c r="T704" s="3"/>
      <c r="U704" s="3"/>
      <c r="V704" s="3">
        <v>126475.69499999999</v>
      </c>
      <c r="W704" s="22"/>
      <c r="Z704" s="27">
        <f t="shared" si="10"/>
        <v>3</v>
      </c>
    </row>
    <row r="705" spans="1:26" ht="23" customHeight="1">
      <c r="A705" s="3" t="s">
        <v>1485</v>
      </c>
      <c r="B705" s="3" t="s">
        <v>1486</v>
      </c>
      <c r="C705" s="3" t="s">
        <v>1487</v>
      </c>
      <c r="D705" s="3" t="s">
        <v>22</v>
      </c>
      <c r="E705" s="3" t="s">
        <v>23</v>
      </c>
      <c r="F705" s="25"/>
      <c r="G705" s="3">
        <v>1</v>
      </c>
      <c r="H705" s="3">
        <v>2</v>
      </c>
      <c r="I705" s="3">
        <v>0</v>
      </c>
      <c r="J705" s="3">
        <v>2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18"/>
      <c r="Q705" s="18"/>
      <c r="R705" s="18"/>
      <c r="S705" s="3"/>
      <c r="T705" s="3"/>
      <c r="U705" s="3"/>
      <c r="V705" s="3">
        <v>60225</v>
      </c>
      <c r="W705" s="22"/>
      <c r="Z705" s="27">
        <f t="shared" si="10"/>
        <v>2</v>
      </c>
    </row>
    <row r="706" spans="1:26" ht="23" customHeight="1">
      <c r="A706" s="3" t="s">
        <v>306</v>
      </c>
      <c r="B706" s="3" t="s">
        <v>1488</v>
      </c>
      <c r="C706" s="3" t="s">
        <v>1489</v>
      </c>
      <c r="D706" s="3" t="s">
        <v>22</v>
      </c>
      <c r="E706" s="3" t="s">
        <v>23</v>
      </c>
      <c r="F706" s="25"/>
      <c r="G706" s="3">
        <v>1</v>
      </c>
      <c r="H706" s="3">
        <v>4</v>
      </c>
      <c r="I706" s="3">
        <v>0</v>
      </c>
      <c r="J706" s="3">
        <v>3</v>
      </c>
      <c r="K706" s="3">
        <v>0</v>
      </c>
      <c r="L706" s="3">
        <v>0</v>
      </c>
      <c r="M706" s="3">
        <v>0</v>
      </c>
      <c r="N706" s="3">
        <v>0</v>
      </c>
      <c r="O706" s="3">
        <v>1</v>
      </c>
      <c r="P706" s="18"/>
      <c r="Q706" s="18"/>
      <c r="R706" s="18"/>
      <c r="S706" s="3"/>
      <c r="T706" s="3">
        <v>-1</v>
      </c>
      <c r="U706" s="3">
        <v>-5</v>
      </c>
      <c r="V706" s="3">
        <v>37635.762186666667</v>
      </c>
      <c r="W706" s="22"/>
      <c r="Z706" s="27">
        <f t="shared" si="10"/>
        <v>3</v>
      </c>
    </row>
    <row r="707" spans="1:26" ht="23" customHeight="1">
      <c r="A707" s="3" t="s">
        <v>115</v>
      </c>
      <c r="B707" s="3" t="s">
        <v>1490</v>
      </c>
      <c r="C707" s="3" t="s">
        <v>1491</v>
      </c>
      <c r="D707" s="3" t="s">
        <v>22</v>
      </c>
      <c r="E707" s="3" t="s">
        <v>23</v>
      </c>
      <c r="F707" s="25"/>
      <c r="G707" s="3">
        <v>1</v>
      </c>
      <c r="H707" s="3">
        <v>3</v>
      </c>
      <c r="I707" s="3">
        <v>0</v>
      </c>
      <c r="J707" s="3">
        <v>2</v>
      </c>
      <c r="K707" s="3">
        <v>0</v>
      </c>
      <c r="L707" s="3">
        <v>0</v>
      </c>
      <c r="M707" s="3">
        <v>0</v>
      </c>
      <c r="N707" s="3">
        <v>1</v>
      </c>
      <c r="O707" s="3">
        <v>0</v>
      </c>
      <c r="P707" s="18"/>
      <c r="Q707" s="18"/>
      <c r="R707" s="18"/>
      <c r="S707" s="3"/>
      <c r="T707" s="3">
        <v>-1</v>
      </c>
      <c r="U707" s="3">
        <v>-1</v>
      </c>
      <c r="V707" s="3">
        <v>1895797.5897134999</v>
      </c>
      <c r="W707" s="22"/>
      <c r="Z707" s="27">
        <f t="shared" si="10"/>
        <v>2</v>
      </c>
    </row>
    <row r="708" spans="1:26" ht="23" customHeight="1">
      <c r="A708" s="3" t="s">
        <v>115</v>
      </c>
      <c r="B708" s="3" t="s">
        <v>1492</v>
      </c>
      <c r="C708" s="3" t="s">
        <v>1493</v>
      </c>
      <c r="D708" s="3" t="s">
        <v>22</v>
      </c>
      <c r="E708" s="3" t="s">
        <v>23</v>
      </c>
      <c r="F708" s="25"/>
      <c r="G708" s="3">
        <v>1</v>
      </c>
      <c r="H708" s="3">
        <v>4</v>
      </c>
      <c r="I708" s="3">
        <v>0</v>
      </c>
      <c r="J708" s="3">
        <v>2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18"/>
      <c r="Q708" s="18"/>
      <c r="R708" s="18"/>
      <c r="S708" s="3"/>
      <c r="T708" s="3">
        <v>-1</v>
      </c>
      <c r="U708" s="3">
        <v>-2</v>
      </c>
      <c r="V708" s="3">
        <v>833856.19200000004</v>
      </c>
      <c r="W708" s="22"/>
      <c r="Z708" s="27">
        <f t="shared" ref="Z708:Z771" si="11">J708/G708</f>
        <v>2</v>
      </c>
    </row>
    <row r="709" spans="1:26" ht="23" customHeight="1">
      <c r="A709" s="3" t="s">
        <v>115</v>
      </c>
      <c r="B709" s="3" t="s">
        <v>1494</v>
      </c>
      <c r="C709" s="3" t="s">
        <v>1495</v>
      </c>
      <c r="D709" s="3" t="s">
        <v>22</v>
      </c>
      <c r="E709" s="3" t="s">
        <v>23</v>
      </c>
      <c r="F709" s="25"/>
      <c r="G709" s="3">
        <v>1</v>
      </c>
      <c r="H709" s="3">
        <v>3</v>
      </c>
      <c r="I709" s="3">
        <v>0</v>
      </c>
      <c r="J709" s="3">
        <v>2</v>
      </c>
      <c r="K709" s="3">
        <v>0</v>
      </c>
      <c r="L709" s="3">
        <v>0</v>
      </c>
      <c r="M709" s="3">
        <v>0</v>
      </c>
      <c r="N709" s="3">
        <v>0</v>
      </c>
      <c r="O709" s="3">
        <v>1</v>
      </c>
      <c r="P709" s="18"/>
      <c r="Q709" s="18"/>
      <c r="R709" s="18"/>
      <c r="S709" s="3"/>
      <c r="T709" s="3">
        <v>-1</v>
      </c>
      <c r="U709" s="3">
        <v>-2</v>
      </c>
      <c r="V709" s="3">
        <v>504690.91200000001</v>
      </c>
      <c r="W709" s="22"/>
      <c r="Z709" s="27">
        <f t="shared" si="11"/>
        <v>2</v>
      </c>
    </row>
    <row r="710" spans="1:26" ht="23" customHeight="1">
      <c r="A710" s="3" t="s">
        <v>1496</v>
      </c>
      <c r="B710" s="3" t="s">
        <v>1497</v>
      </c>
      <c r="C710" s="3" t="s">
        <v>1498</v>
      </c>
      <c r="D710" s="3" t="s">
        <v>22</v>
      </c>
      <c r="E710" s="3" t="s">
        <v>23</v>
      </c>
      <c r="F710" s="25"/>
      <c r="G710" s="3">
        <v>1</v>
      </c>
      <c r="H710" s="3">
        <v>3</v>
      </c>
      <c r="I710" s="3">
        <v>0</v>
      </c>
      <c r="J710" s="3">
        <v>1</v>
      </c>
      <c r="K710" s="3">
        <v>0</v>
      </c>
      <c r="L710" s="3">
        <v>0</v>
      </c>
      <c r="M710" s="3">
        <v>0</v>
      </c>
      <c r="N710" s="3">
        <v>1</v>
      </c>
      <c r="O710" s="3">
        <v>1</v>
      </c>
      <c r="P710" s="18"/>
      <c r="Q710" s="18"/>
      <c r="R710" s="18"/>
      <c r="S710" s="3"/>
      <c r="T710" s="3">
        <v>0</v>
      </c>
      <c r="U710" s="3">
        <v>-2</v>
      </c>
      <c r="V710" s="3">
        <v>334812.88</v>
      </c>
      <c r="W710" s="22"/>
      <c r="Z710" s="27">
        <f t="shared" si="11"/>
        <v>1</v>
      </c>
    </row>
    <row r="711" spans="1:26" ht="20" customHeight="1">
      <c r="A711" s="3" t="s">
        <v>1499</v>
      </c>
      <c r="B711" s="3" t="s">
        <v>1500</v>
      </c>
      <c r="C711" s="3" t="s">
        <v>1501</v>
      </c>
      <c r="D711" s="3" t="s">
        <v>22</v>
      </c>
      <c r="E711" s="3" t="s">
        <v>23</v>
      </c>
      <c r="F711" s="25"/>
      <c r="G711" s="3">
        <v>1</v>
      </c>
      <c r="H711" s="3">
        <v>2</v>
      </c>
      <c r="I711" s="3">
        <v>0</v>
      </c>
      <c r="J711" s="3">
        <v>2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18"/>
      <c r="Q711" s="18"/>
      <c r="R711" s="18"/>
      <c r="S711" s="3"/>
      <c r="T711" s="3">
        <v>0</v>
      </c>
      <c r="U711" s="3">
        <v>-1</v>
      </c>
      <c r="V711" s="3">
        <v>0</v>
      </c>
      <c r="W711" s="22"/>
      <c r="Z711" s="27">
        <f t="shared" si="11"/>
        <v>2</v>
      </c>
    </row>
    <row r="712" spans="1:26" ht="20" customHeight="1">
      <c r="A712" s="3" t="s">
        <v>99</v>
      </c>
      <c r="B712" s="3" t="s">
        <v>1502</v>
      </c>
      <c r="C712" s="3" t="s">
        <v>522</v>
      </c>
      <c r="D712" s="3" t="s">
        <v>30</v>
      </c>
      <c r="E712" s="3" t="s">
        <v>23</v>
      </c>
      <c r="F712" s="25"/>
      <c r="G712" s="3">
        <v>4</v>
      </c>
      <c r="H712" s="3">
        <v>10</v>
      </c>
      <c r="I712" s="3">
        <v>0</v>
      </c>
      <c r="J712" s="3">
        <v>10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18"/>
      <c r="Q712" s="18"/>
      <c r="R712" s="18"/>
      <c r="S712" s="3">
        <v>4</v>
      </c>
      <c r="T712" s="3">
        <v>-4</v>
      </c>
      <c r="U712" s="3">
        <v>-7</v>
      </c>
      <c r="V712" s="3">
        <v>153353.20000000001</v>
      </c>
      <c r="W712" s="22"/>
      <c r="Z712" s="27">
        <f t="shared" si="11"/>
        <v>2.5</v>
      </c>
    </row>
    <row r="713" spans="1:26" ht="20" customHeight="1">
      <c r="A713" s="3" t="s">
        <v>1503</v>
      </c>
      <c r="B713" s="3" t="s">
        <v>1504</v>
      </c>
      <c r="C713" s="3" t="s">
        <v>196</v>
      </c>
      <c r="D713" s="3" t="s">
        <v>22</v>
      </c>
      <c r="E713" s="3" t="s">
        <v>23</v>
      </c>
      <c r="F713" s="25"/>
      <c r="G713" s="3">
        <v>1</v>
      </c>
      <c r="H713" s="3">
        <v>4</v>
      </c>
      <c r="I713" s="3">
        <v>0</v>
      </c>
      <c r="J713" s="3">
        <v>4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18"/>
      <c r="Q713" s="18"/>
      <c r="R713" s="18"/>
      <c r="S713" s="3"/>
      <c r="T713" s="3"/>
      <c r="U713" s="3"/>
      <c r="V713" s="3">
        <v>176468.86499999999</v>
      </c>
      <c r="W713" s="22"/>
      <c r="Z713" s="27">
        <f t="shared" si="11"/>
        <v>4</v>
      </c>
    </row>
    <row r="714" spans="1:26" ht="23" customHeight="1">
      <c r="A714" s="3" t="s">
        <v>1505</v>
      </c>
      <c r="B714" s="3" t="s">
        <v>1506</v>
      </c>
      <c r="C714" s="3" t="s">
        <v>1507</v>
      </c>
      <c r="D714" s="3" t="s">
        <v>30</v>
      </c>
      <c r="E714" s="3" t="s">
        <v>23</v>
      </c>
      <c r="F714" s="25"/>
      <c r="G714" s="3">
        <v>4</v>
      </c>
      <c r="H714" s="3">
        <v>32</v>
      </c>
      <c r="I714" s="3">
        <v>0</v>
      </c>
      <c r="J714" s="3">
        <v>32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18"/>
      <c r="Q714" s="18"/>
      <c r="R714" s="18"/>
      <c r="S714" s="3"/>
      <c r="T714" s="3">
        <v>0</v>
      </c>
      <c r="U714" s="3">
        <v>-2</v>
      </c>
      <c r="V714" s="3">
        <v>278217.1966778129</v>
      </c>
      <c r="W714" s="22"/>
      <c r="Z714" s="27">
        <f t="shared" si="11"/>
        <v>8</v>
      </c>
    </row>
    <row r="715" spans="1:26" ht="23" customHeight="1">
      <c r="A715" s="3" t="s">
        <v>1505</v>
      </c>
      <c r="B715" s="3" t="s">
        <v>1508</v>
      </c>
      <c r="C715" s="3" t="s">
        <v>1507</v>
      </c>
      <c r="D715" s="3" t="s">
        <v>30</v>
      </c>
      <c r="E715" s="3" t="s">
        <v>23</v>
      </c>
      <c r="F715" s="25"/>
      <c r="G715" s="3">
        <v>4</v>
      </c>
      <c r="H715" s="3">
        <v>34</v>
      </c>
      <c r="I715" s="3">
        <v>0</v>
      </c>
      <c r="J715" s="3">
        <v>34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18"/>
      <c r="Q715" s="18"/>
      <c r="R715" s="18"/>
      <c r="S715" s="3"/>
      <c r="T715" s="3">
        <v>0</v>
      </c>
      <c r="U715" s="3">
        <v>-1</v>
      </c>
      <c r="V715" s="3">
        <v>270855.355690344</v>
      </c>
      <c r="W715" s="22"/>
      <c r="Z715" s="27">
        <f t="shared" si="11"/>
        <v>8.5</v>
      </c>
    </row>
    <row r="716" spans="1:26" ht="23" customHeight="1">
      <c r="A716" s="3" t="s">
        <v>1509</v>
      </c>
      <c r="B716" s="3" t="s">
        <v>1510</v>
      </c>
      <c r="C716" s="3" t="s">
        <v>1511</v>
      </c>
      <c r="D716" s="3" t="s">
        <v>22</v>
      </c>
      <c r="E716" s="3" t="s">
        <v>23</v>
      </c>
      <c r="F716" s="25"/>
      <c r="G716" s="3">
        <v>2</v>
      </c>
      <c r="H716" s="3">
        <v>12</v>
      </c>
      <c r="I716" s="3">
        <v>0</v>
      </c>
      <c r="J716" s="3">
        <v>12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18"/>
      <c r="Q716" s="18"/>
      <c r="R716" s="18"/>
      <c r="S716" s="3"/>
      <c r="T716" s="3">
        <v>0</v>
      </c>
      <c r="U716" s="3">
        <v>-4</v>
      </c>
      <c r="V716" s="3">
        <v>301014.40500000003</v>
      </c>
      <c r="W716" s="22"/>
      <c r="Z716" s="27">
        <f t="shared" si="11"/>
        <v>6</v>
      </c>
    </row>
    <row r="717" spans="1:26" ht="20" customHeight="1">
      <c r="A717" s="3" t="s">
        <v>1509</v>
      </c>
      <c r="B717" s="3" t="s">
        <v>1512</v>
      </c>
      <c r="C717" s="3" t="s">
        <v>1489</v>
      </c>
      <c r="D717" s="3" t="s">
        <v>22</v>
      </c>
      <c r="E717" s="3" t="s">
        <v>23</v>
      </c>
      <c r="F717" s="25"/>
      <c r="G717" s="3">
        <v>7</v>
      </c>
      <c r="H717" s="3">
        <v>16</v>
      </c>
      <c r="I717" s="3">
        <v>0</v>
      </c>
      <c r="J717" s="3">
        <v>10</v>
      </c>
      <c r="K717" s="3">
        <v>0</v>
      </c>
      <c r="L717" s="3">
        <v>0</v>
      </c>
      <c r="M717" s="3">
        <v>0</v>
      </c>
      <c r="N717" s="3">
        <v>0</v>
      </c>
      <c r="O717" s="3">
        <v>6</v>
      </c>
      <c r="P717" s="18"/>
      <c r="Q717" s="18"/>
      <c r="R717" s="18"/>
      <c r="S717" s="3"/>
      <c r="T717" s="3">
        <v>0</v>
      </c>
      <c r="U717" s="3">
        <v>-9</v>
      </c>
      <c r="V717" s="3">
        <v>554830.26769999997</v>
      </c>
      <c r="W717" s="22"/>
      <c r="Z717" s="27">
        <f t="shared" si="11"/>
        <v>1.4285714285714286</v>
      </c>
    </row>
    <row r="718" spans="1:26" ht="23" customHeight="1">
      <c r="A718" s="3" t="s">
        <v>1509</v>
      </c>
      <c r="B718" s="3" t="s">
        <v>1513</v>
      </c>
      <c r="C718" s="3" t="s">
        <v>1514</v>
      </c>
      <c r="D718" s="3" t="s">
        <v>30</v>
      </c>
      <c r="E718" s="3" t="s">
        <v>23</v>
      </c>
      <c r="F718" s="25"/>
      <c r="G718" s="3">
        <v>5</v>
      </c>
      <c r="H718" s="3">
        <v>8</v>
      </c>
      <c r="I718" s="3">
        <v>0</v>
      </c>
      <c r="J718" s="3">
        <v>8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18"/>
      <c r="Q718" s="18"/>
      <c r="R718" s="18"/>
      <c r="S718" s="3"/>
      <c r="T718" s="3"/>
      <c r="U718" s="3"/>
      <c r="V718" s="3"/>
      <c r="W718" s="22"/>
      <c r="Z718" s="27">
        <f t="shared" si="11"/>
        <v>1.6</v>
      </c>
    </row>
    <row r="719" spans="1:26" ht="23" customHeight="1">
      <c r="A719" s="3" t="s">
        <v>1509</v>
      </c>
      <c r="B719" s="3" t="s">
        <v>1515</v>
      </c>
      <c r="C719" s="3" t="s">
        <v>1511</v>
      </c>
      <c r="D719" s="3" t="s">
        <v>30</v>
      </c>
      <c r="E719" s="3" t="s">
        <v>23</v>
      </c>
      <c r="F719" s="25"/>
      <c r="G719" s="3">
        <v>2</v>
      </c>
      <c r="H719" s="3">
        <v>6</v>
      </c>
      <c r="I719" s="3">
        <v>0</v>
      </c>
      <c r="J719" s="3">
        <v>5</v>
      </c>
      <c r="K719" s="3">
        <v>0</v>
      </c>
      <c r="L719" s="3">
        <v>0</v>
      </c>
      <c r="M719" s="3">
        <v>0</v>
      </c>
      <c r="N719" s="3">
        <v>0</v>
      </c>
      <c r="O719" s="3">
        <v>1</v>
      </c>
      <c r="P719" s="18"/>
      <c r="Q719" s="18"/>
      <c r="R719" s="18"/>
      <c r="S719" s="3"/>
      <c r="T719" s="3">
        <v>0</v>
      </c>
      <c r="U719" s="3">
        <v>-3</v>
      </c>
      <c r="V719" s="3">
        <v>417093.16500000004</v>
      </c>
      <c r="W719" s="22"/>
      <c r="Z719" s="27">
        <f t="shared" si="11"/>
        <v>2.5</v>
      </c>
    </row>
    <row r="720" spans="1:26" ht="23" customHeight="1">
      <c r="A720" s="3" t="s">
        <v>555</v>
      </c>
      <c r="B720" s="3" t="s">
        <v>1516</v>
      </c>
      <c r="C720" s="3" t="s">
        <v>1517</v>
      </c>
      <c r="D720" s="3" t="s">
        <v>22</v>
      </c>
      <c r="E720" s="3" t="s">
        <v>23</v>
      </c>
      <c r="F720" s="25"/>
      <c r="G720" s="3">
        <v>2</v>
      </c>
      <c r="H720" s="3">
        <v>2</v>
      </c>
      <c r="I720" s="3">
        <v>0</v>
      </c>
      <c r="J720" s="3">
        <v>1</v>
      </c>
      <c r="K720" s="3">
        <v>0</v>
      </c>
      <c r="L720" s="3">
        <v>0</v>
      </c>
      <c r="M720" s="3">
        <v>0</v>
      </c>
      <c r="N720" s="3">
        <v>1</v>
      </c>
      <c r="O720" s="3">
        <v>0</v>
      </c>
      <c r="P720" s="18"/>
      <c r="Q720" s="18"/>
      <c r="R720" s="18"/>
      <c r="S720" s="3"/>
      <c r="T720" s="3">
        <v>-1</v>
      </c>
      <c r="U720" s="3">
        <v>-1</v>
      </c>
      <c r="V720" s="3"/>
      <c r="W720" s="22"/>
      <c r="Z720" s="27">
        <f t="shared" si="11"/>
        <v>0.5</v>
      </c>
    </row>
    <row r="721" spans="1:27" ht="20" customHeight="1">
      <c r="A721" s="3" t="s">
        <v>147</v>
      </c>
      <c r="B721" s="3" t="s">
        <v>1518</v>
      </c>
      <c r="C721" s="3" t="s">
        <v>1519</v>
      </c>
      <c r="D721" s="3" t="s">
        <v>22</v>
      </c>
      <c r="E721" s="3" t="s">
        <v>23</v>
      </c>
      <c r="F721" s="25"/>
      <c r="G721" s="3">
        <v>1</v>
      </c>
      <c r="H721" s="3">
        <v>1</v>
      </c>
      <c r="I721" s="3">
        <v>0</v>
      </c>
      <c r="J721" s="3">
        <v>1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18"/>
      <c r="Q721" s="18"/>
      <c r="R721" s="18"/>
      <c r="S721" s="3"/>
      <c r="T721" s="3"/>
      <c r="U721" s="3"/>
      <c r="V721" s="3">
        <v>0</v>
      </c>
      <c r="W721" s="22"/>
      <c r="Z721" s="27">
        <f t="shared" si="11"/>
        <v>1</v>
      </c>
    </row>
    <row r="722" spans="1:27" ht="20" customHeight="1">
      <c r="A722" s="3" t="s">
        <v>575</v>
      </c>
      <c r="B722" s="3" t="s">
        <v>1520</v>
      </c>
      <c r="C722" s="3" t="s">
        <v>1521</v>
      </c>
      <c r="D722" s="3" t="s">
        <v>22</v>
      </c>
      <c r="E722" s="3" t="s">
        <v>23</v>
      </c>
      <c r="F722" s="25"/>
      <c r="G722" s="3">
        <v>2</v>
      </c>
      <c r="H722" s="3">
        <v>10</v>
      </c>
      <c r="I722" s="3">
        <v>0</v>
      </c>
      <c r="J722" s="3">
        <v>8</v>
      </c>
      <c r="K722" s="3">
        <v>0</v>
      </c>
      <c r="L722" s="3">
        <v>0</v>
      </c>
      <c r="M722" s="3">
        <v>0</v>
      </c>
      <c r="N722" s="3">
        <v>0</v>
      </c>
      <c r="O722" s="3">
        <v>2</v>
      </c>
      <c r="P722" s="18"/>
      <c r="Q722" s="18"/>
      <c r="R722" s="18"/>
      <c r="S722" s="3"/>
      <c r="T722" s="3">
        <v>-1</v>
      </c>
      <c r="U722" s="3">
        <v>-14</v>
      </c>
      <c r="V722" s="3"/>
      <c r="W722" s="22"/>
      <c r="Z722" s="27">
        <f t="shared" si="11"/>
        <v>4</v>
      </c>
    </row>
    <row r="723" spans="1:27" ht="20" customHeight="1">
      <c r="A723" s="3" t="s">
        <v>147</v>
      </c>
      <c r="B723" s="3" t="s">
        <v>1522</v>
      </c>
      <c r="C723" s="3" t="s">
        <v>151</v>
      </c>
      <c r="D723" s="3" t="s">
        <v>22</v>
      </c>
      <c r="E723" s="3" t="s">
        <v>23</v>
      </c>
      <c r="F723" s="25"/>
      <c r="G723" s="3">
        <v>1</v>
      </c>
      <c r="H723" s="3">
        <v>2</v>
      </c>
      <c r="I723" s="3">
        <v>0</v>
      </c>
      <c r="J723" s="3">
        <v>2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18"/>
      <c r="Q723" s="18"/>
      <c r="R723" s="18"/>
      <c r="S723" s="3"/>
      <c r="T723" s="3"/>
      <c r="U723" s="3"/>
      <c r="V723" s="3"/>
      <c r="W723" s="22"/>
      <c r="Z723" s="27">
        <f t="shared" si="11"/>
        <v>2</v>
      </c>
    </row>
    <row r="724" spans="1:27" ht="34" customHeight="1">
      <c r="A724" s="3" t="s">
        <v>469</v>
      </c>
      <c r="B724" s="3" t="s">
        <v>1523</v>
      </c>
      <c r="C724" s="3" t="s">
        <v>1524</v>
      </c>
      <c r="D724" s="3" t="s">
        <v>22</v>
      </c>
      <c r="E724" s="3" t="s">
        <v>23</v>
      </c>
      <c r="F724" s="25"/>
      <c r="G724" s="3">
        <v>2</v>
      </c>
      <c r="H724" s="3">
        <v>9</v>
      </c>
      <c r="I724" s="3">
        <v>0</v>
      </c>
      <c r="J724" s="3">
        <v>2</v>
      </c>
      <c r="K724" s="3">
        <v>0</v>
      </c>
      <c r="L724" s="3">
        <v>0</v>
      </c>
      <c r="M724" s="3">
        <v>0</v>
      </c>
      <c r="N724" s="3">
        <v>2</v>
      </c>
      <c r="O724" s="3">
        <v>5</v>
      </c>
      <c r="P724" s="18"/>
      <c r="Q724" s="18"/>
      <c r="R724" s="18"/>
      <c r="S724" s="3">
        <v>1</v>
      </c>
      <c r="T724" s="3">
        <v>-1</v>
      </c>
      <c r="U724" s="3">
        <v>-10</v>
      </c>
      <c r="V724" s="3">
        <v>4954306.3111111103</v>
      </c>
      <c r="W724" s="22"/>
      <c r="Z724" s="27">
        <f t="shared" si="11"/>
        <v>1</v>
      </c>
      <c r="AA724" s="19">
        <v>1</v>
      </c>
    </row>
    <row r="725" spans="1:27" ht="23" customHeight="1">
      <c r="A725" s="3" t="s">
        <v>1330</v>
      </c>
      <c r="B725" s="3" t="s">
        <v>1525</v>
      </c>
      <c r="C725" s="3" t="s">
        <v>1526</v>
      </c>
      <c r="D725" s="3" t="s">
        <v>30</v>
      </c>
      <c r="E725" s="3" t="s">
        <v>23</v>
      </c>
      <c r="F725" s="25"/>
      <c r="G725" s="3">
        <v>1</v>
      </c>
      <c r="H725" s="3">
        <v>1</v>
      </c>
      <c r="I725" s="3">
        <v>0</v>
      </c>
      <c r="J725" s="3">
        <v>1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18"/>
      <c r="Q725" s="18"/>
      <c r="R725" s="18"/>
      <c r="S725" s="3"/>
      <c r="T725" s="3"/>
      <c r="U725" s="3"/>
      <c r="V725" s="3">
        <v>245654.72</v>
      </c>
      <c r="W725" s="22"/>
      <c r="Z725" s="27">
        <f t="shared" si="11"/>
        <v>1</v>
      </c>
    </row>
    <row r="726" spans="1:27" ht="23" customHeight="1">
      <c r="A726" s="3" t="s">
        <v>1330</v>
      </c>
      <c r="B726" s="3" t="s">
        <v>1527</v>
      </c>
      <c r="C726" s="3" t="s">
        <v>1528</v>
      </c>
      <c r="D726" s="3" t="s">
        <v>30</v>
      </c>
      <c r="E726" s="3" t="s">
        <v>23</v>
      </c>
      <c r="F726" s="25"/>
      <c r="G726" s="3">
        <v>3</v>
      </c>
      <c r="H726" s="3">
        <v>11</v>
      </c>
      <c r="I726" s="3">
        <v>0</v>
      </c>
      <c r="J726" s="3">
        <v>11</v>
      </c>
      <c r="K726" s="3">
        <v>0</v>
      </c>
      <c r="L726" s="3">
        <v>8</v>
      </c>
      <c r="M726" s="3">
        <v>0</v>
      </c>
      <c r="N726" s="3">
        <v>0</v>
      </c>
      <c r="O726" s="3">
        <v>0</v>
      </c>
      <c r="P726" s="18"/>
      <c r="Q726" s="18"/>
      <c r="R726" s="18"/>
      <c r="S726" s="3">
        <v>10</v>
      </c>
      <c r="T726" s="3">
        <v>-8</v>
      </c>
      <c r="U726" s="3">
        <v>-11</v>
      </c>
      <c r="V726" s="3">
        <v>359544.16800000001</v>
      </c>
      <c r="W726" s="22"/>
      <c r="Z726" s="27">
        <f t="shared" si="11"/>
        <v>3.6666666666666665</v>
      </c>
    </row>
    <row r="727" spans="1:27" ht="23" customHeight="1">
      <c r="A727" s="3" t="s">
        <v>547</v>
      </c>
      <c r="B727" s="3" t="s">
        <v>1529</v>
      </c>
      <c r="C727" s="3" t="s">
        <v>1530</v>
      </c>
      <c r="D727" s="3" t="s">
        <v>30</v>
      </c>
      <c r="E727" s="3" t="s">
        <v>23</v>
      </c>
      <c r="F727" s="25"/>
      <c r="G727" s="3">
        <v>1</v>
      </c>
      <c r="H727" s="3">
        <v>1</v>
      </c>
      <c r="I727" s="3">
        <v>0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18"/>
      <c r="Q727" s="18"/>
      <c r="R727" s="18"/>
      <c r="S727" s="3"/>
      <c r="T727" s="3"/>
      <c r="U727" s="3"/>
      <c r="V727" s="3">
        <v>35490.0887</v>
      </c>
      <c r="W727" s="22"/>
      <c r="Z727" s="27">
        <f t="shared" si="11"/>
        <v>1</v>
      </c>
    </row>
    <row r="728" spans="1:27" ht="23" customHeight="1">
      <c r="A728" s="3" t="s">
        <v>547</v>
      </c>
      <c r="B728" s="3" t="s">
        <v>1531</v>
      </c>
      <c r="C728" s="3" t="s">
        <v>1532</v>
      </c>
      <c r="D728" s="3" t="s">
        <v>30</v>
      </c>
      <c r="E728" s="3" t="s">
        <v>23</v>
      </c>
      <c r="F728" s="25"/>
      <c r="G728" s="3">
        <v>5</v>
      </c>
      <c r="H728" s="3">
        <v>3</v>
      </c>
      <c r="I728" s="3">
        <v>0</v>
      </c>
      <c r="J728" s="3">
        <v>2</v>
      </c>
      <c r="K728" s="3">
        <v>0</v>
      </c>
      <c r="L728" s="3">
        <v>3</v>
      </c>
      <c r="M728" s="3">
        <v>0</v>
      </c>
      <c r="N728" s="3">
        <v>1</v>
      </c>
      <c r="O728" s="3">
        <v>0</v>
      </c>
      <c r="P728" s="18"/>
      <c r="Q728" s="18"/>
      <c r="R728" s="18"/>
      <c r="S728" s="3">
        <v>8</v>
      </c>
      <c r="T728" s="3">
        <v>-3</v>
      </c>
      <c r="U728" s="3">
        <v>-16</v>
      </c>
      <c r="V728" s="3">
        <v>51727.05720000001</v>
      </c>
      <c r="W728" s="22"/>
      <c r="Z728" s="27">
        <f t="shared" si="11"/>
        <v>0.4</v>
      </c>
      <c r="AA728" s="19">
        <v>1</v>
      </c>
    </row>
    <row r="729" spans="1:27" ht="20" customHeight="1">
      <c r="A729" s="3" t="s">
        <v>928</v>
      </c>
      <c r="B729" s="3" t="s">
        <v>1533</v>
      </c>
      <c r="C729" s="3" t="s">
        <v>1534</v>
      </c>
      <c r="D729" s="3" t="s">
        <v>22</v>
      </c>
      <c r="E729" s="3" t="s">
        <v>23</v>
      </c>
      <c r="F729" s="25"/>
      <c r="G729" s="3">
        <v>4</v>
      </c>
      <c r="H729" s="3">
        <v>6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6</v>
      </c>
      <c r="P729" s="18"/>
      <c r="Q729" s="18"/>
      <c r="R729" s="18"/>
      <c r="S729" s="3"/>
      <c r="T729" s="3">
        <v>-4</v>
      </c>
      <c r="U729" s="3">
        <v>-48</v>
      </c>
      <c r="V729" s="3">
        <v>884679.26</v>
      </c>
      <c r="W729" s="22"/>
      <c r="Z729" s="27">
        <f t="shared" si="11"/>
        <v>0</v>
      </c>
    </row>
    <row r="730" spans="1:27" ht="20" customHeight="1">
      <c r="A730" s="3" t="s">
        <v>928</v>
      </c>
      <c r="B730" s="3" t="s">
        <v>1535</v>
      </c>
      <c r="C730" s="3" t="s">
        <v>1536</v>
      </c>
      <c r="D730" s="3" t="s">
        <v>22</v>
      </c>
      <c r="E730" s="3" t="s">
        <v>23</v>
      </c>
      <c r="F730" s="25"/>
      <c r="G730" s="3">
        <v>5</v>
      </c>
      <c r="H730" s="3">
        <v>9</v>
      </c>
      <c r="I730" s="3">
        <v>0</v>
      </c>
      <c r="J730" s="3">
        <v>3</v>
      </c>
      <c r="K730" s="3">
        <v>0</v>
      </c>
      <c r="L730" s="3">
        <v>0</v>
      </c>
      <c r="M730" s="3">
        <v>0</v>
      </c>
      <c r="N730" s="3">
        <v>1</v>
      </c>
      <c r="O730" s="3">
        <v>5</v>
      </c>
      <c r="P730" s="18"/>
      <c r="Q730" s="18"/>
      <c r="R730" s="18"/>
      <c r="S730" s="3">
        <v>1</v>
      </c>
      <c r="T730" s="3">
        <v>-3</v>
      </c>
      <c r="U730" s="3">
        <v>-47</v>
      </c>
      <c r="V730" s="3"/>
      <c r="W730" s="22"/>
      <c r="Z730" s="27">
        <f t="shared" si="11"/>
        <v>0.6</v>
      </c>
      <c r="AA730" s="19">
        <v>1</v>
      </c>
    </row>
    <row r="731" spans="1:27" ht="20" customHeight="1">
      <c r="A731" s="3" t="s">
        <v>928</v>
      </c>
      <c r="B731" s="3" t="s">
        <v>1537</v>
      </c>
      <c r="C731" s="3" t="s">
        <v>1538</v>
      </c>
      <c r="D731" s="3" t="s">
        <v>22</v>
      </c>
      <c r="E731" s="3" t="s">
        <v>23</v>
      </c>
      <c r="F731" s="25"/>
      <c r="G731" s="3">
        <v>2</v>
      </c>
      <c r="H731" s="3">
        <v>8</v>
      </c>
      <c r="I731" s="3">
        <v>0</v>
      </c>
      <c r="J731" s="3">
        <v>5</v>
      </c>
      <c r="K731" s="3">
        <v>0</v>
      </c>
      <c r="L731" s="3">
        <v>0</v>
      </c>
      <c r="M731" s="3">
        <v>0</v>
      </c>
      <c r="N731" s="3">
        <v>0</v>
      </c>
      <c r="O731" s="3">
        <v>3</v>
      </c>
      <c r="P731" s="18"/>
      <c r="Q731" s="18"/>
      <c r="R731" s="18"/>
      <c r="S731" s="3"/>
      <c r="T731" s="3">
        <v>-2</v>
      </c>
      <c r="U731" s="3">
        <v>-23</v>
      </c>
      <c r="V731" s="3">
        <v>79611.28</v>
      </c>
      <c r="W731" s="22"/>
      <c r="Z731" s="27">
        <f t="shared" si="11"/>
        <v>2.5</v>
      </c>
    </row>
    <row r="732" spans="1:27" ht="20" customHeight="1">
      <c r="A732" s="3" t="s">
        <v>928</v>
      </c>
      <c r="B732" s="3" t="s">
        <v>1539</v>
      </c>
      <c r="C732" s="3" t="s">
        <v>1540</v>
      </c>
      <c r="D732" s="3" t="s">
        <v>22</v>
      </c>
      <c r="E732" s="3" t="s">
        <v>23</v>
      </c>
      <c r="F732" s="25"/>
      <c r="G732" s="3">
        <v>2</v>
      </c>
      <c r="H732" s="3">
        <v>6</v>
      </c>
      <c r="I732" s="3">
        <v>0</v>
      </c>
      <c r="J732" s="3">
        <v>4</v>
      </c>
      <c r="K732" s="3">
        <v>0</v>
      </c>
      <c r="L732" s="3">
        <v>0</v>
      </c>
      <c r="M732" s="3">
        <v>0</v>
      </c>
      <c r="N732" s="3">
        <v>0</v>
      </c>
      <c r="O732" s="3">
        <v>2</v>
      </c>
      <c r="P732" s="18"/>
      <c r="Q732" s="18"/>
      <c r="R732" s="18"/>
      <c r="S732" s="3"/>
      <c r="T732" s="3">
        <v>-2</v>
      </c>
      <c r="U732" s="3">
        <v>-18</v>
      </c>
      <c r="V732" s="3">
        <v>47766.77</v>
      </c>
      <c r="W732" s="22"/>
      <c r="Z732" s="27">
        <f t="shared" si="11"/>
        <v>2</v>
      </c>
    </row>
    <row r="733" spans="1:27" ht="20" customHeight="1">
      <c r="A733" s="3" t="s">
        <v>152</v>
      </c>
      <c r="B733" s="3" t="s">
        <v>1541</v>
      </c>
      <c r="C733" s="3" t="s">
        <v>1542</v>
      </c>
      <c r="D733" s="3" t="s">
        <v>22</v>
      </c>
      <c r="E733" s="3" t="s">
        <v>23</v>
      </c>
      <c r="F733" s="25"/>
      <c r="G733" s="3">
        <v>1</v>
      </c>
      <c r="H733" s="3">
        <v>1</v>
      </c>
      <c r="I733" s="3">
        <v>0</v>
      </c>
      <c r="J733" s="3">
        <v>1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18"/>
      <c r="Q733" s="18"/>
      <c r="R733" s="18"/>
      <c r="S733" s="3"/>
      <c r="T733" s="3"/>
      <c r="U733" s="3"/>
      <c r="V733" s="3"/>
      <c r="W733" s="22"/>
      <c r="Z733" s="27">
        <f t="shared" si="11"/>
        <v>1</v>
      </c>
    </row>
    <row r="734" spans="1:27" ht="23" customHeight="1">
      <c r="A734" s="3" t="s">
        <v>1543</v>
      </c>
      <c r="B734" s="3" t="s">
        <v>1544</v>
      </c>
      <c r="C734" s="3" t="s">
        <v>1545</v>
      </c>
      <c r="D734" s="3" t="s">
        <v>30</v>
      </c>
      <c r="E734" s="3" t="s">
        <v>23</v>
      </c>
      <c r="F734" s="25"/>
      <c r="G734" s="3">
        <v>4</v>
      </c>
      <c r="H734" s="3">
        <v>5</v>
      </c>
      <c r="I734" s="3">
        <v>0</v>
      </c>
      <c r="J734" s="3">
        <v>5</v>
      </c>
      <c r="K734" s="3">
        <v>0</v>
      </c>
      <c r="L734" s="3">
        <v>1</v>
      </c>
      <c r="M734" s="3">
        <v>0</v>
      </c>
      <c r="N734" s="3">
        <v>0</v>
      </c>
      <c r="O734" s="3">
        <v>0</v>
      </c>
      <c r="P734" s="18"/>
      <c r="Q734" s="18"/>
      <c r="R734" s="18"/>
      <c r="S734" s="3"/>
      <c r="T734" s="3">
        <v>-1</v>
      </c>
      <c r="U734" s="3">
        <v>-4</v>
      </c>
      <c r="V734" s="3">
        <v>231607.76208389134</v>
      </c>
      <c r="W734" s="22"/>
      <c r="Z734" s="27">
        <f t="shared" si="11"/>
        <v>1.25</v>
      </c>
    </row>
    <row r="735" spans="1:27" ht="20" customHeight="1">
      <c r="A735" s="3" t="s">
        <v>1377</v>
      </c>
      <c r="B735" s="3" t="s">
        <v>1546</v>
      </c>
      <c r="C735" s="3" t="s">
        <v>1547</v>
      </c>
      <c r="D735" s="3" t="s">
        <v>30</v>
      </c>
      <c r="E735" s="3" t="s">
        <v>23</v>
      </c>
      <c r="F735" s="25"/>
      <c r="G735" s="3">
        <v>1</v>
      </c>
      <c r="H735" s="3">
        <v>1</v>
      </c>
      <c r="I735" s="3">
        <v>0</v>
      </c>
      <c r="J735" s="3">
        <v>1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18"/>
      <c r="Q735" s="18"/>
      <c r="R735" s="18"/>
      <c r="S735" s="3"/>
      <c r="T735" s="3"/>
      <c r="U735" s="3"/>
      <c r="V735" s="3"/>
      <c r="W735" s="22"/>
      <c r="Z735" s="27">
        <f t="shared" si="11"/>
        <v>1</v>
      </c>
    </row>
    <row r="736" spans="1:27" ht="20" customHeight="1">
      <c r="A736" s="3" t="s">
        <v>1548</v>
      </c>
      <c r="B736" s="3" t="s">
        <v>1549</v>
      </c>
      <c r="C736" s="3" t="s">
        <v>1545</v>
      </c>
      <c r="D736" s="3" t="s">
        <v>30</v>
      </c>
      <c r="E736" s="3" t="s">
        <v>23</v>
      </c>
      <c r="F736" s="25"/>
      <c r="G736" s="3">
        <v>4</v>
      </c>
      <c r="H736" s="3">
        <v>8</v>
      </c>
      <c r="I736" s="3">
        <v>0</v>
      </c>
      <c r="J736" s="3">
        <v>8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18"/>
      <c r="Q736" s="18"/>
      <c r="R736" s="18"/>
      <c r="S736" s="3">
        <v>6</v>
      </c>
      <c r="T736" s="3">
        <v>-1</v>
      </c>
      <c r="U736" s="3">
        <v>-16</v>
      </c>
      <c r="V736" s="3">
        <v>236400.44899999999</v>
      </c>
      <c r="W736" s="22"/>
      <c r="Z736" s="27">
        <f t="shared" si="11"/>
        <v>2</v>
      </c>
    </row>
    <row r="737" spans="1:27" ht="23" customHeight="1">
      <c r="A737" s="3" t="s">
        <v>1550</v>
      </c>
      <c r="B737" s="3" t="s">
        <v>1551</v>
      </c>
      <c r="C737" s="3" t="s">
        <v>1552</v>
      </c>
      <c r="D737" s="3" t="s">
        <v>22</v>
      </c>
      <c r="E737" s="3" t="s">
        <v>23</v>
      </c>
      <c r="F737" s="25"/>
      <c r="G737" s="3">
        <v>2</v>
      </c>
      <c r="H737" s="3">
        <v>8</v>
      </c>
      <c r="I737" s="3">
        <v>0</v>
      </c>
      <c r="J737" s="3">
        <v>8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18"/>
      <c r="Q737" s="18"/>
      <c r="R737" s="18"/>
      <c r="S737" s="3"/>
      <c r="T737" s="3">
        <v>0</v>
      </c>
      <c r="U737" s="3">
        <v>-5</v>
      </c>
      <c r="V737" s="3">
        <v>4812563.0550829628</v>
      </c>
      <c r="W737" s="22"/>
      <c r="Z737" s="27">
        <f t="shared" si="11"/>
        <v>4</v>
      </c>
    </row>
    <row r="738" spans="1:27" ht="20" customHeight="1">
      <c r="A738" s="3" t="s">
        <v>1553</v>
      </c>
      <c r="B738" s="3" t="s">
        <v>1554</v>
      </c>
      <c r="C738" s="3" t="s">
        <v>1555</v>
      </c>
      <c r="D738" s="3" t="s">
        <v>30</v>
      </c>
      <c r="E738" s="3" t="s">
        <v>23</v>
      </c>
      <c r="F738" s="25"/>
      <c r="G738" s="3">
        <v>1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18"/>
      <c r="Q738" s="18"/>
      <c r="R738" s="18"/>
      <c r="S738" s="3">
        <v>6</v>
      </c>
      <c r="T738" s="3">
        <v>0</v>
      </c>
      <c r="U738" s="3">
        <v>-1</v>
      </c>
      <c r="V738" s="3"/>
      <c r="W738" s="22"/>
      <c r="Z738" s="27">
        <f t="shared" si="11"/>
        <v>0</v>
      </c>
      <c r="AA738" s="19">
        <v>1</v>
      </c>
    </row>
    <row r="739" spans="1:27" ht="20" customHeight="1">
      <c r="A739" s="3" t="s">
        <v>1556</v>
      </c>
      <c r="B739" s="3" t="s">
        <v>1557</v>
      </c>
      <c r="C739" s="3" t="s">
        <v>1558</v>
      </c>
      <c r="D739" s="3" t="s">
        <v>30</v>
      </c>
      <c r="E739" s="3" t="s">
        <v>23</v>
      </c>
      <c r="F739" s="25"/>
      <c r="G739" s="3">
        <v>4</v>
      </c>
      <c r="H739" s="3">
        <v>4</v>
      </c>
      <c r="I739" s="3">
        <v>0</v>
      </c>
      <c r="J739" s="3">
        <v>4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18"/>
      <c r="Q739" s="18"/>
      <c r="R739" s="18"/>
      <c r="S739" s="3"/>
      <c r="T739" s="3"/>
      <c r="U739" s="3"/>
      <c r="V739" s="3"/>
      <c r="W739" s="22"/>
      <c r="Z739" s="27">
        <f t="shared" si="11"/>
        <v>1</v>
      </c>
    </row>
    <row r="740" spans="1:27" ht="20" customHeight="1">
      <c r="A740" s="3" t="s">
        <v>1556</v>
      </c>
      <c r="B740" s="3" t="s">
        <v>1559</v>
      </c>
      <c r="C740" s="3" t="s">
        <v>1558</v>
      </c>
      <c r="D740" s="3" t="s">
        <v>30</v>
      </c>
      <c r="E740" s="3" t="s">
        <v>23</v>
      </c>
      <c r="F740" s="25"/>
      <c r="G740" s="3">
        <v>4</v>
      </c>
      <c r="H740" s="3">
        <v>2</v>
      </c>
      <c r="I740" s="3">
        <v>0</v>
      </c>
      <c r="J740" s="3">
        <v>2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18"/>
      <c r="Q740" s="18"/>
      <c r="R740" s="18"/>
      <c r="S740" s="3">
        <v>2</v>
      </c>
      <c r="T740" s="3">
        <v>0</v>
      </c>
      <c r="U740" s="3">
        <v>-3</v>
      </c>
      <c r="V740" s="3"/>
      <c r="W740" s="22"/>
      <c r="Z740" s="27">
        <f t="shared" si="11"/>
        <v>0.5</v>
      </c>
    </row>
    <row r="741" spans="1:27" ht="20" customHeight="1">
      <c r="A741" s="3" t="s">
        <v>939</v>
      </c>
      <c r="B741" s="3" t="s">
        <v>1560</v>
      </c>
      <c r="C741" s="3" t="s">
        <v>1561</v>
      </c>
      <c r="D741" s="3" t="s">
        <v>30</v>
      </c>
      <c r="E741" s="3" t="s">
        <v>23</v>
      </c>
      <c r="F741" s="25"/>
      <c r="G741" s="3">
        <v>1</v>
      </c>
      <c r="H741" s="3">
        <v>1</v>
      </c>
      <c r="I741" s="3">
        <v>0</v>
      </c>
      <c r="J741" s="3">
        <v>1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18"/>
      <c r="Q741" s="18"/>
      <c r="R741" s="18"/>
      <c r="S741" s="3"/>
      <c r="T741" s="3">
        <v>0</v>
      </c>
      <c r="U741" s="3">
        <v>-2</v>
      </c>
      <c r="V741" s="3">
        <v>665027.71200000006</v>
      </c>
      <c r="W741" s="22"/>
      <c r="Z741" s="27">
        <f t="shared" si="11"/>
        <v>1</v>
      </c>
    </row>
    <row r="742" spans="1:27" ht="34" customHeight="1">
      <c r="A742" s="3" t="s">
        <v>1562</v>
      </c>
      <c r="B742" s="3" t="s">
        <v>1563</v>
      </c>
      <c r="C742" s="3" t="s">
        <v>1564</v>
      </c>
      <c r="D742" s="3" t="s">
        <v>22</v>
      </c>
      <c r="E742" s="3" t="s">
        <v>23</v>
      </c>
      <c r="F742" s="25"/>
      <c r="G742" s="3">
        <v>1</v>
      </c>
      <c r="H742" s="3">
        <v>15</v>
      </c>
      <c r="I742" s="3">
        <v>0</v>
      </c>
      <c r="J742" s="3">
        <v>1</v>
      </c>
      <c r="K742" s="3">
        <v>3</v>
      </c>
      <c r="L742" s="3">
        <v>0</v>
      </c>
      <c r="M742" s="3">
        <v>0</v>
      </c>
      <c r="N742" s="3">
        <v>11</v>
      </c>
      <c r="O742" s="3">
        <v>0</v>
      </c>
      <c r="P742" s="18"/>
      <c r="Q742" s="18"/>
      <c r="R742" s="18"/>
      <c r="S742" s="3"/>
      <c r="T742" s="3">
        <v>0</v>
      </c>
      <c r="U742" s="3">
        <v>-1</v>
      </c>
      <c r="V742" s="3">
        <v>120000</v>
      </c>
      <c r="W742" s="22"/>
      <c r="Z742" s="27">
        <f t="shared" si="11"/>
        <v>1</v>
      </c>
    </row>
    <row r="743" spans="1:27" ht="34" customHeight="1">
      <c r="A743" s="3" t="s">
        <v>1562</v>
      </c>
      <c r="B743" s="3" t="s">
        <v>1565</v>
      </c>
      <c r="C743" s="3" t="s">
        <v>1564</v>
      </c>
      <c r="D743" s="3" t="s">
        <v>22</v>
      </c>
      <c r="E743" s="3" t="s">
        <v>23</v>
      </c>
      <c r="F743" s="25"/>
      <c r="G743" s="3">
        <v>1</v>
      </c>
      <c r="H743" s="3">
        <v>19</v>
      </c>
      <c r="I743" s="3">
        <v>0</v>
      </c>
      <c r="J743" s="3">
        <v>2</v>
      </c>
      <c r="K743" s="3">
        <v>3</v>
      </c>
      <c r="L743" s="3">
        <v>0</v>
      </c>
      <c r="M743" s="3">
        <v>0</v>
      </c>
      <c r="N743" s="3">
        <v>14</v>
      </c>
      <c r="O743" s="3">
        <v>0</v>
      </c>
      <c r="P743" s="18"/>
      <c r="Q743" s="18"/>
      <c r="R743" s="18"/>
      <c r="S743" s="3"/>
      <c r="T743" s="3">
        <v>0</v>
      </c>
      <c r="U743" s="3">
        <v>-1</v>
      </c>
      <c r="V743" s="3">
        <v>120000</v>
      </c>
      <c r="W743" s="22"/>
      <c r="Z743" s="27">
        <f t="shared" si="11"/>
        <v>2</v>
      </c>
    </row>
    <row r="744" spans="1:27" ht="23" customHeight="1">
      <c r="A744" s="3" t="s">
        <v>293</v>
      </c>
      <c r="B744" s="3" t="s">
        <v>1566</v>
      </c>
      <c r="C744" s="3" t="s">
        <v>448</v>
      </c>
      <c r="D744" s="3" t="s">
        <v>22</v>
      </c>
      <c r="E744" s="3" t="s">
        <v>145</v>
      </c>
      <c r="F744" s="25"/>
      <c r="G744" s="3">
        <v>2</v>
      </c>
      <c r="H744" s="3">
        <v>25</v>
      </c>
      <c r="I744" s="3">
        <v>0</v>
      </c>
      <c r="J744" s="3">
        <v>23</v>
      </c>
      <c r="K744" s="3">
        <v>1</v>
      </c>
      <c r="L744" s="3">
        <v>0</v>
      </c>
      <c r="M744" s="3">
        <v>0</v>
      </c>
      <c r="N744" s="3">
        <v>1</v>
      </c>
      <c r="O744" s="3">
        <v>0</v>
      </c>
      <c r="P744" s="18"/>
      <c r="Q744" s="18"/>
      <c r="R744" s="18"/>
      <c r="S744" s="3"/>
      <c r="T744" s="3">
        <v>-1</v>
      </c>
      <c r="U744" s="3">
        <v>-42</v>
      </c>
      <c r="V744" s="3"/>
      <c r="W744" s="22"/>
      <c r="Z744" s="27">
        <f t="shared" si="11"/>
        <v>11.5</v>
      </c>
    </row>
    <row r="745" spans="1:27" ht="23" customHeight="1">
      <c r="A745" s="3" t="s">
        <v>1567</v>
      </c>
      <c r="B745" s="3" t="s">
        <v>1568</v>
      </c>
      <c r="C745" s="3" t="s">
        <v>1569</v>
      </c>
      <c r="D745" s="3" t="s">
        <v>30</v>
      </c>
      <c r="E745" s="3" t="s">
        <v>23</v>
      </c>
      <c r="F745" s="25"/>
      <c r="G745" s="3">
        <v>1</v>
      </c>
      <c r="H745" s="3">
        <v>1</v>
      </c>
      <c r="I745" s="3">
        <v>0</v>
      </c>
      <c r="J745" s="3">
        <v>1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18"/>
      <c r="Q745" s="18"/>
      <c r="R745" s="18"/>
      <c r="S745" s="3"/>
      <c r="T745" s="3">
        <v>0</v>
      </c>
      <c r="U745" s="3">
        <v>0</v>
      </c>
      <c r="V745" s="3"/>
      <c r="W745" s="22"/>
      <c r="Z745" s="27">
        <f t="shared" si="11"/>
        <v>1</v>
      </c>
    </row>
    <row r="746" spans="1:27" ht="34" customHeight="1">
      <c r="A746" s="3" t="s">
        <v>1567</v>
      </c>
      <c r="B746" s="3" t="s">
        <v>1570</v>
      </c>
      <c r="C746" s="3" t="s">
        <v>1571</v>
      </c>
      <c r="D746" s="3" t="s">
        <v>22</v>
      </c>
      <c r="E746" s="3" t="s">
        <v>23</v>
      </c>
      <c r="F746" s="25"/>
      <c r="G746" s="3">
        <v>1</v>
      </c>
      <c r="H746" s="3">
        <v>1</v>
      </c>
      <c r="I746" s="3">
        <v>0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18"/>
      <c r="Q746" s="18"/>
      <c r="R746" s="18"/>
      <c r="S746" s="3"/>
      <c r="T746" s="3"/>
      <c r="U746" s="3"/>
      <c r="V746" s="3">
        <v>0</v>
      </c>
      <c r="W746" s="22"/>
      <c r="Z746" s="27">
        <f t="shared" si="11"/>
        <v>1</v>
      </c>
    </row>
    <row r="747" spans="1:27" ht="23" customHeight="1">
      <c r="A747" s="3" t="s">
        <v>1572</v>
      </c>
      <c r="B747" s="3" t="s">
        <v>1573</v>
      </c>
      <c r="C747" s="3" t="s">
        <v>1574</v>
      </c>
      <c r="D747" s="3" t="s">
        <v>22</v>
      </c>
      <c r="E747" s="3" t="s">
        <v>23</v>
      </c>
      <c r="F747" s="25"/>
      <c r="G747" s="3">
        <v>3</v>
      </c>
      <c r="H747" s="3">
        <v>9</v>
      </c>
      <c r="I747" s="3">
        <v>0</v>
      </c>
      <c r="J747" s="3">
        <v>8</v>
      </c>
      <c r="K747" s="3">
        <v>0</v>
      </c>
      <c r="L747" s="3">
        <v>0</v>
      </c>
      <c r="M747" s="3">
        <v>0</v>
      </c>
      <c r="N747" s="3">
        <v>0</v>
      </c>
      <c r="O747" s="3">
        <v>1</v>
      </c>
      <c r="P747" s="18"/>
      <c r="Q747" s="18"/>
      <c r="R747" s="18"/>
      <c r="S747" s="3"/>
      <c r="T747" s="3">
        <v>-1</v>
      </c>
      <c r="U747" s="3">
        <v>-2</v>
      </c>
      <c r="V747" s="3">
        <v>2088009.57033</v>
      </c>
      <c r="W747" s="22"/>
      <c r="Z747" s="27">
        <f t="shared" si="11"/>
        <v>2.6666666666666665</v>
      </c>
    </row>
    <row r="748" spans="1:27" ht="20" customHeight="1">
      <c r="A748" s="3" t="s">
        <v>1503</v>
      </c>
      <c r="B748" s="3" t="s">
        <v>1575</v>
      </c>
      <c r="C748" s="3" t="s">
        <v>902</v>
      </c>
      <c r="D748" s="3" t="s">
        <v>22</v>
      </c>
      <c r="E748" s="3" t="s">
        <v>23</v>
      </c>
      <c r="F748" s="25"/>
      <c r="G748" s="3">
        <v>1</v>
      </c>
      <c r="H748" s="3">
        <v>18</v>
      </c>
      <c r="I748" s="3">
        <v>0</v>
      </c>
      <c r="J748" s="3">
        <v>11</v>
      </c>
      <c r="K748" s="3">
        <v>2</v>
      </c>
      <c r="L748" s="3">
        <v>0</v>
      </c>
      <c r="M748" s="3">
        <v>0</v>
      </c>
      <c r="N748" s="3">
        <v>5</v>
      </c>
      <c r="O748" s="3">
        <v>0</v>
      </c>
      <c r="P748" s="18"/>
      <c r="Q748" s="18"/>
      <c r="R748" s="18"/>
      <c r="S748" s="3"/>
      <c r="T748" s="3">
        <v>-1</v>
      </c>
      <c r="U748" s="3">
        <v>-15</v>
      </c>
      <c r="V748" s="3">
        <v>0</v>
      </c>
      <c r="W748" s="22"/>
      <c r="Z748" s="27">
        <f t="shared" si="11"/>
        <v>11</v>
      </c>
    </row>
    <row r="749" spans="1:27" ht="23" customHeight="1">
      <c r="A749" s="3" t="s">
        <v>791</v>
      </c>
      <c r="B749" s="3" t="s">
        <v>1576</v>
      </c>
      <c r="C749" s="3" t="s">
        <v>1577</v>
      </c>
      <c r="D749" s="3" t="s">
        <v>22</v>
      </c>
      <c r="E749" s="3" t="s">
        <v>23</v>
      </c>
      <c r="F749" s="25"/>
      <c r="G749" s="3">
        <v>1</v>
      </c>
      <c r="H749" s="3">
        <v>4</v>
      </c>
      <c r="I749" s="3">
        <v>0</v>
      </c>
      <c r="J749" s="3">
        <v>4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18"/>
      <c r="Q749" s="18"/>
      <c r="R749" s="18"/>
      <c r="S749" s="3"/>
      <c r="T749" s="3"/>
      <c r="U749" s="3"/>
      <c r="V749" s="3">
        <v>242562.58214444446</v>
      </c>
      <c r="W749" s="22"/>
      <c r="Z749" s="27">
        <f t="shared" si="11"/>
        <v>4</v>
      </c>
    </row>
    <row r="750" spans="1:27" ht="23" customHeight="1">
      <c r="A750" s="3" t="s">
        <v>1306</v>
      </c>
      <c r="B750" s="3" t="s">
        <v>1578</v>
      </c>
      <c r="C750" s="3" t="s">
        <v>1579</v>
      </c>
      <c r="D750" s="3" t="s">
        <v>22</v>
      </c>
      <c r="E750" s="3" t="s">
        <v>23</v>
      </c>
      <c r="F750" s="25"/>
      <c r="G750" s="3">
        <v>1</v>
      </c>
      <c r="H750" s="3">
        <v>2</v>
      </c>
      <c r="I750" s="3">
        <v>0</v>
      </c>
      <c r="J750" s="3">
        <v>2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18"/>
      <c r="Q750" s="18"/>
      <c r="R750" s="18"/>
      <c r="S750" s="3"/>
      <c r="T750" s="3"/>
      <c r="U750" s="3"/>
      <c r="V750" s="3">
        <v>0</v>
      </c>
      <c r="W750" s="22"/>
      <c r="Z750" s="27">
        <f t="shared" si="11"/>
        <v>2</v>
      </c>
    </row>
    <row r="751" spans="1:27" ht="23" customHeight="1">
      <c r="A751" s="3" t="s">
        <v>1306</v>
      </c>
      <c r="B751" s="3" t="s">
        <v>1580</v>
      </c>
      <c r="C751" s="3" t="s">
        <v>1581</v>
      </c>
      <c r="D751" s="3" t="s">
        <v>30</v>
      </c>
      <c r="E751" s="3" t="s">
        <v>23</v>
      </c>
      <c r="F751" s="25"/>
      <c r="G751" s="3">
        <v>1</v>
      </c>
      <c r="H751" s="3">
        <v>4</v>
      </c>
      <c r="I751" s="3">
        <v>0</v>
      </c>
      <c r="J751" s="3">
        <v>4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18"/>
      <c r="Q751" s="18"/>
      <c r="R751" s="18"/>
      <c r="S751" s="3"/>
      <c r="T751" s="3"/>
      <c r="U751" s="3"/>
      <c r="V751" s="3"/>
      <c r="W751" s="22"/>
      <c r="Z751" s="27">
        <f t="shared" si="11"/>
        <v>4</v>
      </c>
    </row>
    <row r="752" spans="1:27" ht="34" customHeight="1">
      <c r="A752" s="3" t="s">
        <v>1306</v>
      </c>
      <c r="B752" s="3" t="s">
        <v>1582</v>
      </c>
      <c r="C752" s="3" t="s">
        <v>1583</v>
      </c>
      <c r="D752" s="3" t="s">
        <v>22</v>
      </c>
      <c r="E752" s="3" t="s">
        <v>23</v>
      </c>
      <c r="F752" s="25"/>
      <c r="G752" s="3">
        <v>2</v>
      </c>
      <c r="H752" s="3">
        <v>8</v>
      </c>
      <c r="I752" s="3">
        <v>0</v>
      </c>
      <c r="J752" s="3">
        <v>7</v>
      </c>
      <c r="K752" s="3">
        <v>0</v>
      </c>
      <c r="L752" s="3">
        <v>0</v>
      </c>
      <c r="M752" s="3">
        <v>0</v>
      </c>
      <c r="N752" s="3">
        <v>0</v>
      </c>
      <c r="O752" s="3">
        <v>1</v>
      </c>
      <c r="P752" s="18"/>
      <c r="Q752" s="18"/>
      <c r="R752" s="18"/>
      <c r="S752" s="3"/>
      <c r="T752" s="3">
        <v>0</v>
      </c>
      <c r="U752" s="3">
        <v>-3</v>
      </c>
      <c r="V752" s="3">
        <v>2932339.0399020002</v>
      </c>
      <c r="W752" s="22"/>
      <c r="Z752" s="27">
        <f t="shared" si="11"/>
        <v>3.5</v>
      </c>
    </row>
    <row r="753" spans="1:26" ht="34" customHeight="1">
      <c r="A753" s="3" t="s">
        <v>1445</v>
      </c>
      <c r="B753" s="3" t="s">
        <v>1584</v>
      </c>
      <c r="C753" s="3" t="s">
        <v>1585</v>
      </c>
      <c r="D753" s="3" t="s">
        <v>22</v>
      </c>
      <c r="E753" s="3" t="s">
        <v>23</v>
      </c>
      <c r="F753" s="25"/>
      <c r="G753" s="3">
        <v>2</v>
      </c>
      <c r="H753" s="3">
        <v>3</v>
      </c>
      <c r="I753" s="3">
        <v>0</v>
      </c>
      <c r="J753" s="3">
        <v>2</v>
      </c>
      <c r="K753" s="3">
        <v>0</v>
      </c>
      <c r="L753" s="3">
        <v>0</v>
      </c>
      <c r="M753" s="3">
        <v>1</v>
      </c>
      <c r="N753" s="3">
        <v>0</v>
      </c>
      <c r="O753" s="3">
        <v>1</v>
      </c>
      <c r="P753" s="18"/>
      <c r="Q753" s="18"/>
      <c r="R753" s="18"/>
      <c r="S753" s="3"/>
      <c r="T753" s="3">
        <v>-1</v>
      </c>
      <c r="U753" s="3">
        <v>-3</v>
      </c>
      <c r="V753" s="3">
        <v>689992.00166666671</v>
      </c>
      <c r="W753" s="22"/>
      <c r="Z753" s="27">
        <f t="shared" si="11"/>
        <v>1</v>
      </c>
    </row>
    <row r="754" spans="1:26" ht="20" customHeight="1">
      <c r="A754" s="3" t="s">
        <v>1445</v>
      </c>
      <c r="B754" s="3" t="s">
        <v>1586</v>
      </c>
      <c r="C754" s="3" t="s">
        <v>1587</v>
      </c>
      <c r="D754" s="3" t="s">
        <v>22</v>
      </c>
      <c r="E754" s="3" t="s">
        <v>23</v>
      </c>
      <c r="F754" s="25"/>
      <c r="G754" s="3">
        <v>2</v>
      </c>
      <c r="H754" s="3">
        <v>6</v>
      </c>
      <c r="I754" s="3">
        <v>0</v>
      </c>
      <c r="J754" s="3">
        <v>3</v>
      </c>
      <c r="K754" s="3">
        <v>0</v>
      </c>
      <c r="L754" s="3">
        <v>0</v>
      </c>
      <c r="M754" s="3">
        <v>0</v>
      </c>
      <c r="N754" s="3">
        <v>0</v>
      </c>
      <c r="O754" s="3">
        <v>3</v>
      </c>
      <c r="P754" s="18"/>
      <c r="Q754" s="18"/>
      <c r="R754" s="18"/>
      <c r="S754" s="3"/>
      <c r="T754" s="3">
        <v>-1</v>
      </c>
      <c r="U754" s="3">
        <v>-5</v>
      </c>
      <c r="V754" s="3">
        <v>4277423.37</v>
      </c>
      <c r="W754" s="22"/>
      <c r="Z754" s="27">
        <f t="shared" si="11"/>
        <v>1.5</v>
      </c>
    </row>
    <row r="755" spans="1:26" ht="20" customHeight="1">
      <c r="A755" s="3" t="s">
        <v>147</v>
      </c>
      <c r="B755" s="3" t="s">
        <v>1588</v>
      </c>
      <c r="C755" s="3" t="s">
        <v>1589</v>
      </c>
      <c r="D755" s="3" t="s">
        <v>22</v>
      </c>
      <c r="E755" s="3" t="s">
        <v>23</v>
      </c>
      <c r="F755" s="25"/>
      <c r="G755" s="3">
        <v>2</v>
      </c>
      <c r="H755" s="3">
        <v>7</v>
      </c>
      <c r="I755" s="3">
        <v>0</v>
      </c>
      <c r="J755" s="3">
        <v>7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18"/>
      <c r="Q755" s="18"/>
      <c r="R755" s="18"/>
      <c r="S755" s="3"/>
      <c r="T755" s="3"/>
      <c r="U755" s="3"/>
      <c r="V755" s="3">
        <v>1844335.01</v>
      </c>
      <c r="W755" s="22"/>
      <c r="Z755" s="27">
        <f t="shared" si="11"/>
        <v>3.5</v>
      </c>
    </row>
    <row r="756" spans="1:26" ht="34" customHeight="1">
      <c r="A756" s="3" t="s">
        <v>191</v>
      </c>
      <c r="B756" s="3" t="s">
        <v>1590</v>
      </c>
      <c r="C756" s="3" t="s">
        <v>193</v>
      </c>
      <c r="D756" s="3" t="s">
        <v>22</v>
      </c>
      <c r="E756" s="3" t="s">
        <v>145</v>
      </c>
      <c r="F756" s="25"/>
      <c r="G756" s="3">
        <v>5</v>
      </c>
      <c r="H756" s="3">
        <v>7</v>
      </c>
      <c r="I756" s="3">
        <v>0</v>
      </c>
      <c r="J756" s="3">
        <v>6</v>
      </c>
      <c r="K756" s="3">
        <v>0</v>
      </c>
      <c r="L756" s="3">
        <v>2</v>
      </c>
      <c r="M756" s="3">
        <v>0</v>
      </c>
      <c r="N756" s="3">
        <v>1</v>
      </c>
      <c r="O756" s="3">
        <v>0</v>
      </c>
      <c r="P756" s="18"/>
      <c r="Q756" s="18"/>
      <c r="R756" s="18"/>
      <c r="S756" s="3">
        <v>10</v>
      </c>
      <c r="T756" s="3">
        <v>-1</v>
      </c>
      <c r="U756" s="3">
        <v>-12</v>
      </c>
      <c r="V756" s="3"/>
      <c r="W756" s="22"/>
      <c r="Z756" s="27">
        <f t="shared" si="11"/>
        <v>1.2</v>
      </c>
    </row>
    <row r="757" spans="1:26" ht="34" customHeight="1">
      <c r="A757" s="3" t="s">
        <v>191</v>
      </c>
      <c r="B757" s="3" t="s">
        <v>1591</v>
      </c>
      <c r="C757" s="3" t="s">
        <v>1592</v>
      </c>
      <c r="D757" s="3" t="s">
        <v>22</v>
      </c>
      <c r="E757" s="3" t="s">
        <v>145</v>
      </c>
      <c r="F757" s="25"/>
      <c r="G757" s="3">
        <v>5</v>
      </c>
      <c r="H757" s="3">
        <v>7</v>
      </c>
      <c r="I757" s="3">
        <v>0</v>
      </c>
      <c r="J757" s="3">
        <v>6</v>
      </c>
      <c r="K757" s="3">
        <v>0</v>
      </c>
      <c r="L757" s="3">
        <v>2</v>
      </c>
      <c r="M757" s="3">
        <v>0</v>
      </c>
      <c r="N757" s="3">
        <v>1</v>
      </c>
      <c r="O757" s="3">
        <v>0</v>
      </c>
      <c r="P757" s="18"/>
      <c r="Q757" s="18"/>
      <c r="R757" s="18"/>
      <c r="S757" s="3">
        <v>10</v>
      </c>
      <c r="T757" s="3">
        <v>-1</v>
      </c>
      <c r="U757" s="3">
        <v>-12</v>
      </c>
      <c r="V757" s="3">
        <v>363478.62331575673</v>
      </c>
      <c r="W757" s="22"/>
      <c r="Z757" s="27">
        <f t="shared" si="11"/>
        <v>1.2</v>
      </c>
    </row>
    <row r="758" spans="1:26" ht="34" customHeight="1">
      <c r="A758" s="3" t="s">
        <v>1593</v>
      </c>
      <c r="B758" s="3" t="s">
        <v>1594</v>
      </c>
      <c r="C758" s="3" t="s">
        <v>1595</v>
      </c>
      <c r="D758" s="3" t="s">
        <v>22</v>
      </c>
      <c r="E758" s="3" t="s">
        <v>23</v>
      </c>
      <c r="F758" s="25"/>
      <c r="G758" s="3">
        <v>3</v>
      </c>
      <c r="H758" s="3">
        <v>7</v>
      </c>
      <c r="I758" s="3">
        <v>0</v>
      </c>
      <c r="J758" s="3">
        <v>5</v>
      </c>
      <c r="K758" s="3">
        <v>0</v>
      </c>
      <c r="L758" s="3">
        <v>0</v>
      </c>
      <c r="M758" s="3">
        <v>0</v>
      </c>
      <c r="N758" s="3">
        <v>0</v>
      </c>
      <c r="O758" s="3">
        <v>2</v>
      </c>
      <c r="P758" s="18"/>
      <c r="Q758" s="18"/>
      <c r="R758" s="18"/>
      <c r="S758" s="3"/>
      <c r="T758" s="3">
        <v>0</v>
      </c>
      <c r="U758" s="3">
        <v>-7</v>
      </c>
      <c r="V758" s="3">
        <v>6863824.5625</v>
      </c>
      <c r="W758" s="22"/>
      <c r="Z758" s="27">
        <f t="shared" si="11"/>
        <v>1.6666666666666667</v>
      </c>
    </row>
    <row r="759" spans="1:26" ht="23" customHeight="1">
      <c r="A759" s="3" t="s">
        <v>437</v>
      </c>
      <c r="B759" s="3" t="s">
        <v>1596</v>
      </c>
      <c r="C759" s="3" t="s">
        <v>1597</v>
      </c>
      <c r="D759" s="3" t="s">
        <v>30</v>
      </c>
      <c r="E759" s="3" t="s">
        <v>23</v>
      </c>
      <c r="F759" s="25"/>
      <c r="G759" s="3">
        <v>10</v>
      </c>
      <c r="H759" s="3">
        <v>53</v>
      </c>
      <c r="I759" s="3">
        <v>0</v>
      </c>
      <c r="J759" s="3">
        <v>53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18"/>
      <c r="Q759" s="18"/>
      <c r="R759" s="18"/>
      <c r="S759" s="3"/>
      <c r="T759" s="3">
        <v>-3</v>
      </c>
      <c r="U759" s="3">
        <v>-18</v>
      </c>
      <c r="V759" s="3">
        <v>1461.9047619047619</v>
      </c>
      <c r="W759" s="22"/>
      <c r="Z759" s="27">
        <f t="shared" si="11"/>
        <v>5.3</v>
      </c>
    </row>
    <row r="760" spans="1:26" ht="34" customHeight="1">
      <c r="A760" s="3" t="s">
        <v>160</v>
      </c>
      <c r="B760" s="3" t="s">
        <v>1598</v>
      </c>
      <c r="C760" s="3" t="s">
        <v>1599</v>
      </c>
      <c r="D760" s="3" t="s">
        <v>22</v>
      </c>
      <c r="E760" s="3" t="s">
        <v>23</v>
      </c>
      <c r="F760" s="25"/>
      <c r="G760" s="3">
        <v>1</v>
      </c>
      <c r="H760" s="3">
        <v>5</v>
      </c>
      <c r="I760" s="3">
        <v>0</v>
      </c>
      <c r="J760" s="3">
        <v>5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18"/>
      <c r="Q760" s="18"/>
      <c r="R760" s="18"/>
      <c r="S760" s="3"/>
      <c r="T760" s="3"/>
      <c r="U760" s="3"/>
      <c r="V760" s="3">
        <v>225000</v>
      </c>
      <c r="W760" s="22"/>
      <c r="Z760" s="27">
        <f t="shared" si="11"/>
        <v>5</v>
      </c>
    </row>
    <row r="761" spans="1:26" ht="23" customHeight="1">
      <c r="A761" s="3" t="s">
        <v>570</v>
      </c>
      <c r="B761" s="3" t="s">
        <v>1600</v>
      </c>
      <c r="C761" s="3" t="s">
        <v>1601</v>
      </c>
      <c r="D761" s="3" t="s">
        <v>30</v>
      </c>
      <c r="E761" s="3" t="s">
        <v>23</v>
      </c>
      <c r="F761" s="25"/>
      <c r="G761" s="3">
        <v>2</v>
      </c>
      <c r="H761" s="3">
        <v>4</v>
      </c>
      <c r="I761" s="3">
        <v>0</v>
      </c>
      <c r="J761" s="3">
        <v>4</v>
      </c>
      <c r="K761" s="3">
        <v>0</v>
      </c>
      <c r="L761" s="3">
        <v>1</v>
      </c>
      <c r="M761" s="3">
        <v>0</v>
      </c>
      <c r="N761" s="3">
        <v>0</v>
      </c>
      <c r="O761" s="3">
        <v>0</v>
      </c>
      <c r="P761" s="18"/>
      <c r="Q761" s="18"/>
      <c r="R761" s="18"/>
      <c r="S761" s="3"/>
      <c r="T761" s="3">
        <v>-1</v>
      </c>
      <c r="U761" s="3">
        <v>-3</v>
      </c>
      <c r="V761" s="3">
        <v>27764.183530999999</v>
      </c>
      <c r="W761" s="22"/>
      <c r="Z761" s="27">
        <f t="shared" si="11"/>
        <v>2</v>
      </c>
    </row>
    <row r="762" spans="1:26" ht="20" customHeight="1">
      <c r="A762" s="3" t="s">
        <v>570</v>
      </c>
      <c r="B762" s="3" t="s">
        <v>1602</v>
      </c>
      <c r="C762" s="3" t="s">
        <v>1603</v>
      </c>
      <c r="D762" s="3" t="s">
        <v>30</v>
      </c>
      <c r="E762" s="3" t="s">
        <v>23</v>
      </c>
      <c r="F762" s="25"/>
      <c r="G762" s="3">
        <v>2</v>
      </c>
      <c r="H762" s="3">
        <v>2</v>
      </c>
      <c r="I762" s="3">
        <v>0</v>
      </c>
      <c r="J762" s="3">
        <v>2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18"/>
      <c r="Q762" s="18"/>
      <c r="R762" s="18"/>
      <c r="S762" s="3"/>
      <c r="T762" s="3">
        <v>0</v>
      </c>
      <c r="U762" s="3">
        <v>-4</v>
      </c>
      <c r="V762" s="3">
        <v>64382.141559999996</v>
      </c>
      <c r="W762" s="22"/>
      <c r="Z762" s="27">
        <f t="shared" si="11"/>
        <v>1</v>
      </c>
    </row>
    <row r="763" spans="1:26" ht="23" customHeight="1">
      <c r="A763" s="3" t="s">
        <v>88</v>
      </c>
      <c r="B763" s="3" t="s">
        <v>1604</v>
      </c>
      <c r="C763" s="3" t="s">
        <v>1605</v>
      </c>
      <c r="D763" s="3" t="s">
        <v>22</v>
      </c>
      <c r="E763" s="3" t="s">
        <v>23</v>
      </c>
      <c r="F763" s="25"/>
      <c r="G763" s="3">
        <v>1</v>
      </c>
      <c r="H763" s="3">
        <v>3</v>
      </c>
      <c r="I763" s="3">
        <v>0</v>
      </c>
      <c r="J763" s="3">
        <v>3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18"/>
      <c r="Q763" s="18"/>
      <c r="R763" s="18"/>
      <c r="S763" s="3"/>
      <c r="T763" s="3">
        <v>0</v>
      </c>
      <c r="U763" s="3">
        <v>-1</v>
      </c>
      <c r="V763" s="3">
        <v>227581.12375</v>
      </c>
      <c r="W763" s="22"/>
      <c r="Z763" s="27">
        <f t="shared" si="11"/>
        <v>3</v>
      </c>
    </row>
    <row r="764" spans="1:26" ht="23" customHeight="1">
      <c r="A764" s="3" t="s">
        <v>1548</v>
      </c>
      <c r="B764" s="3" t="s">
        <v>1606</v>
      </c>
      <c r="C764" s="3" t="s">
        <v>1607</v>
      </c>
      <c r="D764" s="3" t="s">
        <v>22</v>
      </c>
      <c r="E764" s="3" t="s">
        <v>23</v>
      </c>
      <c r="F764" s="25"/>
      <c r="G764" s="3">
        <v>1</v>
      </c>
      <c r="H764" s="3">
        <v>6</v>
      </c>
      <c r="I764" s="3">
        <v>0</v>
      </c>
      <c r="J764" s="3">
        <v>5</v>
      </c>
      <c r="K764" s="3">
        <v>0</v>
      </c>
      <c r="L764" s="3">
        <v>0</v>
      </c>
      <c r="M764" s="3">
        <v>0</v>
      </c>
      <c r="N764" s="3">
        <v>0</v>
      </c>
      <c r="O764" s="3">
        <v>1</v>
      </c>
      <c r="P764" s="18"/>
      <c r="Q764" s="18"/>
      <c r="R764" s="18"/>
      <c r="S764" s="3"/>
      <c r="T764" s="3">
        <v>0</v>
      </c>
      <c r="U764" s="3">
        <v>-1</v>
      </c>
      <c r="V764" s="3">
        <v>612238.3303583333</v>
      </c>
      <c r="W764" s="22"/>
      <c r="Z764" s="27">
        <f t="shared" si="11"/>
        <v>5</v>
      </c>
    </row>
    <row r="765" spans="1:26" ht="23" customHeight="1">
      <c r="A765" s="3" t="s">
        <v>1548</v>
      </c>
      <c r="B765" s="3" t="s">
        <v>1608</v>
      </c>
      <c r="C765" s="3" t="s">
        <v>1607</v>
      </c>
      <c r="D765" s="3" t="s">
        <v>22</v>
      </c>
      <c r="E765" s="3" t="s">
        <v>23</v>
      </c>
      <c r="F765" s="25"/>
      <c r="G765" s="3">
        <v>1</v>
      </c>
      <c r="H765" s="3">
        <v>2</v>
      </c>
      <c r="I765" s="3">
        <v>0</v>
      </c>
      <c r="J765" s="3">
        <v>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18"/>
      <c r="Q765" s="18"/>
      <c r="R765" s="18"/>
      <c r="S765" s="3"/>
      <c r="T765" s="3"/>
      <c r="U765" s="3"/>
      <c r="V765" s="3">
        <v>2772787.5</v>
      </c>
      <c r="W765" s="22"/>
      <c r="Z765" s="27">
        <f t="shared" si="11"/>
        <v>2</v>
      </c>
    </row>
    <row r="766" spans="1:26" ht="34" customHeight="1">
      <c r="A766" s="3" t="s">
        <v>1377</v>
      </c>
      <c r="B766" s="3" t="s">
        <v>1609</v>
      </c>
      <c r="C766" s="3" t="s">
        <v>1610</v>
      </c>
      <c r="D766" s="3" t="s">
        <v>22</v>
      </c>
      <c r="E766" s="3" t="s">
        <v>23</v>
      </c>
      <c r="F766" s="25"/>
      <c r="G766" s="3">
        <v>1</v>
      </c>
      <c r="H766" s="3">
        <v>3</v>
      </c>
      <c r="I766" s="3">
        <v>0</v>
      </c>
      <c r="J766" s="3">
        <v>2</v>
      </c>
      <c r="K766" s="3">
        <v>0</v>
      </c>
      <c r="L766" s="3">
        <v>0</v>
      </c>
      <c r="M766" s="3">
        <v>0</v>
      </c>
      <c r="N766" s="3">
        <v>1</v>
      </c>
      <c r="O766" s="3">
        <v>0</v>
      </c>
      <c r="P766" s="18"/>
      <c r="Q766" s="18"/>
      <c r="R766" s="18"/>
      <c r="S766" s="3"/>
      <c r="T766" s="3"/>
      <c r="U766" s="3"/>
      <c r="V766" s="3">
        <v>583879.64</v>
      </c>
      <c r="W766" s="22"/>
      <c r="Z766" s="27">
        <f t="shared" si="11"/>
        <v>2</v>
      </c>
    </row>
    <row r="767" spans="1:26" ht="20" customHeight="1">
      <c r="A767" s="3" t="s">
        <v>48</v>
      </c>
      <c r="B767" s="3" t="s">
        <v>1611</v>
      </c>
      <c r="C767" s="3" t="s">
        <v>1612</v>
      </c>
      <c r="D767" s="3" t="s">
        <v>30</v>
      </c>
      <c r="E767" s="3" t="s">
        <v>23</v>
      </c>
      <c r="F767" s="25"/>
      <c r="G767" s="3">
        <v>1</v>
      </c>
      <c r="H767" s="3">
        <v>1</v>
      </c>
      <c r="I767" s="3">
        <v>0</v>
      </c>
      <c r="J767" s="3">
        <v>1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18"/>
      <c r="Q767" s="18"/>
      <c r="R767" s="18"/>
      <c r="S767" s="3"/>
      <c r="T767" s="3"/>
      <c r="U767" s="3"/>
      <c r="V767" s="3">
        <v>0</v>
      </c>
      <c r="W767" s="22"/>
      <c r="Z767" s="27">
        <f t="shared" si="11"/>
        <v>1</v>
      </c>
    </row>
    <row r="768" spans="1:26" ht="20" customHeight="1">
      <c r="A768" s="3" t="s">
        <v>1419</v>
      </c>
      <c r="B768" s="3" t="s">
        <v>1613</v>
      </c>
      <c r="C768" s="3" t="s">
        <v>196</v>
      </c>
      <c r="D768" s="3" t="s">
        <v>22</v>
      </c>
      <c r="E768" s="3" t="s">
        <v>23</v>
      </c>
      <c r="F768" s="25"/>
      <c r="G768" s="3">
        <v>1</v>
      </c>
      <c r="H768" s="3">
        <v>3</v>
      </c>
      <c r="I768" s="3">
        <v>0</v>
      </c>
      <c r="J768" s="3">
        <v>3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18"/>
      <c r="Q768" s="18"/>
      <c r="R768" s="18"/>
      <c r="S768" s="3"/>
      <c r="T768" s="3">
        <v>0</v>
      </c>
      <c r="U768" s="3">
        <v>-1</v>
      </c>
      <c r="V768" s="3">
        <v>107075</v>
      </c>
      <c r="W768" s="22"/>
      <c r="Z768" s="27">
        <f t="shared" si="11"/>
        <v>3</v>
      </c>
    </row>
    <row r="769" spans="1:27" ht="23" customHeight="1">
      <c r="A769" s="3" t="s">
        <v>1419</v>
      </c>
      <c r="B769" s="3" t="s">
        <v>1614</v>
      </c>
      <c r="C769" s="3" t="s">
        <v>196</v>
      </c>
      <c r="D769" s="3" t="s">
        <v>22</v>
      </c>
      <c r="E769" s="3" t="s">
        <v>23</v>
      </c>
      <c r="F769" s="25"/>
      <c r="G769" s="3">
        <v>1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1</v>
      </c>
      <c r="O769" s="3">
        <v>0</v>
      </c>
      <c r="P769" s="18"/>
      <c r="Q769" s="18"/>
      <c r="R769" s="18"/>
      <c r="S769" s="3">
        <v>5</v>
      </c>
      <c r="T769" s="3">
        <v>0</v>
      </c>
      <c r="U769" s="3">
        <v>-1</v>
      </c>
      <c r="V769" s="3">
        <v>60289.437549000002</v>
      </c>
      <c r="W769" s="22"/>
      <c r="Z769" s="27">
        <f t="shared" si="11"/>
        <v>0</v>
      </c>
      <c r="AA769" s="19">
        <v>1</v>
      </c>
    </row>
    <row r="770" spans="1:27" ht="23" customHeight="1">
      <c r="A770" s="3" t="s">
        <v>1615</v>
      </c>
      <c r="B770" s="3" t="s">
        <v>1616</v>
      </c>
      <c r="C770" s="3" t="s">
        <v>1617</v>
      </c>
      <c r="D770" s="3" t="s">
        <v>22</v>
      </c>
      <c r="E770" s="3" t="s">
        <v>23</v>
      </c>
      <c r="F770" s="25"/>
      <c r="G770" s="3">
        <v>2</v>
      </c>
      <c r="H770" s="3">
        <v>3</v>
      </c>
      <c r="I770" s="3">
        <v>0</v>
      </c>
      <c r="J770" s="3">
        <v>3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18"/>
      <c r="Q770" s="18"/>
      <c r="R770" s="18"/>
      <c r="S770" s="3"/>
      <c r="T770" s="3"/>
      <c r="U770" s="3"/>
      <c r="V770" s="3">
        <v>140706.75</v>
      </c>
      <c r="W770" s="22"/>
      <c r="Z770" s="27">
        <f t="shared" si="11"/>
        <v>1.5</v>
      </c>
    </row>
    <row r="771" spans="1:27" ht="23" customHeight="1">
      <c r="A771" s="3" t="s">
        <v>1618</v>
      </c>
      <c r="B771" s="3" t="s">
        <v>1619</v>
      </c>
      <c r="C771" s="3" t="s">
        <v>1620</v>
      </c>
      <c r="D771" s="3" t="s">
        <v>30</v>
      </c>
      <c r="E771" s="3" t="s">
        <v>23</v>
      </c>
      <c r="F771" s="25"/>
      <c r="G771" s="3">
        <v>2</v>
      </c>
      <c r="H771" s="3">
        <v>9</v>
      </c>
      <c r="I771" s="3">
        <v>0</v>
      </c>
      <c r="J771" s="3">
        <v>6</v>
      </c>
      <c r="K771" s="3">
        <v>0</v>
      </c>
      <c r="L771" s="3">
        <v>0</v>
      </c>
      <c r="M771" s="3">
        <v>0</v>
      </c>
      <c r="N771" s="3">
        <v>0</v>
      </c>
      <c r="O771" s="3">
        <v>3</v>
      </c>
      <c r="P771" s="18"/>
      <c r="Q771" s="18"/>
      <c r="R771" s="18"/>
      <c r="S771" s="3"/>
      <c r="T771" s="3">
        <v>-1</v>
      </c>
      <c r="U771" s="3">
        <v>-7</v>
      </c>
      <c r="V771" s="3">
        <v>184395.73297612069</v>
      </c>
      <c r="W771" s="22"/>
      <c r="Z771" s="27">
        <f t="shared" si="11"/>
        <v>3</v>
      </c>
    </row>
    <row r="772" spans="1:27" ht="34" customHeight="1">
      <c r="A772" s="3" t="s">
        <v>245</v>
      </c>
      <c r="B772" s="3" t="s">
        <v>1621</v>
      </c>
      <c r="C772" s="3" t="s">
        <v>1622</v>
      </c>
      <c r="D772" s="3" t="s">
        <v>30</v>
      </c>
      <c r="E772" s="3" t="s">
        <v>23</v>
      </c>
      <c r="F772" s="25"/>
      <c r="G772" s="3">
        <v>3</v>
      </c>
      <c r="H772" s="3">
        <v>6</v>
      </c>
      <c r="I772" s="3">
        <v>0</v>
      </c>
      <c r="J772" s="3">
        <v>6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18"/>
      <c r="Q772" s="18"/>
      <c r="R772" s="18"/>
      <c r="S772" s="3"/>
      <c r="T772" s="3">
        <v>0</v>
      </c>
      <c r="U772" s="3">
        <v>-5</v>
      </c>
      <c r="V772" s="3">
        <v>116844.41</v>
      </c>
      <c r="W772" s="22"/>
      <c r="Z772" s="27">
        <f t="shared" ref="Z772:Z835" si="12">J772/G772</f>
        <v>2</v>
      </c>
    </row>
    <row r="773" spans="1:27" ht="23" customHeight="1">
      <c r="A773" s="3" t="s">
        <v>257</v>
      </c>
      <c r="B773" s="3" t="s">
        <v>1623</v>
      </c>
      <c r="C773" s="3" t="s">
        <v>259</v>
      </c>
      <c r="D773" s="3" t="s">
        <v>22</v>
      </c>
      <c r="E773" s="3" t="s">
        <v>23</v>
      </c>
      <c r="F773" s="25"/>
      <c r="G773" s="3">
        <v>1</v>
      </c>
      <c r="H773" s="3">
        <v>2</v>
      </c>
      <c r="I773" s="3">
        <v>0</v>
      </c>
      <c r="J773" s="3">
        <v>1</v>
      </c>
      <c r="K773" s="3">
        <v>0</v>
      </c>
      <c r="L773" s="3">
        <v>0</v>
      </c>
      <c r="M773" s="3">
        <v>0</v>
      </c>
      <c r="N773" s="3">
        <v>1</v>
      </c>
      <c r="O773" s="3">
        <v>0</v>
      </c>
      <c r="P773" s="18"/>
      <c r="Q773" s="18"/>
      <c r="R773" s="18"/>
      <c r="S773" s="3"/>
      <c r="T773" s="3"/>
      <c r="U773" s="3"/>
      <c r="V773" s="3"/>
      <c r="W773" s="22"/>
      <c r="Z773" s="27">
        <f t="shared" si="12"/>
        <v>1</v>
      </c>
    </row>
    <row r="774" spans="1:27" ht="23" customHeight="1">
      <c r="A774" s="3" t="s">
        <v>257</v>
      </c>
      <c r="B774" s="3" t="s">
        <v>1624</v>
      </c>
      <c r="C774" s="3" t="s">
        <v>259</v>
      </c>
      <c r="D774" s="3" t="s">
        <v>22</v>
      </c>
      <c r="E774" s="3" t="s">
        <v>23</v>
      </c>
      <c r="F774" s="25"/>
      <c r="G774" s="3">
        <v>1</v>
      </c>
      <c r="H774" s="3">
        <v>1</v>
      </c>
      <c r="I774" s="3">
        <v>0</v>
      </c>
      <c r="J774" s="3">
        <v>1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18"/>
      <c r="Q774" s="18"/>
      <c r="R774" s="18"/>
      <c r="S774" s="3"/>
      <c r="T774" s="3"/>
      <c r="U774" s="3"/>
      <c r="V774" s="3"/>
      <c r="W774" s="22"/>
      <c r="Z774" s="27">
        <f t="shared" si="12"/>
        <v>1</v>
      </c>
    </row>
    <row r="775" spans="1:27" ht="23" customHeight="1">
      <c r="A775" s="3" t="s">
        <v>427</v>
      </c>
      <c r="B775" s="3" t="s">
        <v>1625</v>
      </c>
      <c r="C775" s="3" t="s">
        <v>1407</v>
      </c>
      <c r="D775" s="3" t="s">
        <v>22</v>
      </c>
      <c r="E775" s="3" t="s">
        <v>23</v>
      </c>
      <c r="F775" s="25"/>
      <c r="G775" s="3">
        <v>1</v>
      </c>
      <c r="H775" s="3">
        <v>7</v>
      </c>
      <c r="I775" s="3">
        <v>0</v>
      </c>
      <c r="J775" s="3">
        <v>7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18"/>
      <c r="Q775" s="18"/>
      <c r="R775" s="18"/>
      <c r="S775" s="3"/>
      <c r="T775" s="3">
        <v>0</v>
      </c>
      <c r="U775" s="3">
        <v>-7</v>
      </c>
      <c r="V775" s="3">
        <v>511612.89041666663</v>
      </c>
      <c r="W775" s="22"/>
      <c r="Z775" s="27">
        <f t="shared" si="12"/>
        <v>7</v>
      </c>
    </row>
    <row r="776" spans="1:27" ht="23" customHeight="1">
      <c r="A776" s="3" t="s">
        <v>427</v>
      </c>
      <c r="B776" s="3" t="s">
        <v>1626</v>
      </c>
      <c r="C776" s="3" t="s">
        <v>1407</v>
      </c>
      <c r="D776" s="3" t="s">
        <v>22</v>
      </c>
      <c r="E776" s="3" t="s">
        <v>23</v>
      </c>
      <c r="F776" s="25"/>
      <c r="G776" s="3">
        <v>1</v>
      </c>
      <c r="H776" s="3">
        <v>2</v>
      </c>
      <c r="I776" s="3">
        <v>0</v>
      </c>
      <c r="J776" s="3">
        <v>1</v>
      </c>
      <c r="K776" s="3">
        <v>0</v>
      </c>
      <c r="L776" s="3">
        <v>0</v>
      </c>
      <c r="M776" s="3">
        <v>0</v>
      </c>
      <c r="N776" s="3">
        <v>0</v>
      </c>
      <c r="O776" s="3">
        <v>1</v>
      </c>
      <c r="P776" s="18"/>
      <c r="Q776" s="18"/>
      <c r="R776" s="18"/>
      <c r="S776" s="3"/>
      <c r="T776" s="3">
        <v>-1</v>
      </c>
      <c r="U776" s="3">
        <v>-1</v>
      </c>
      <c r="V776" s="3"/>
      <c r="W776" s="22"/>
      <c r="Z776" s="27">
        <f t="shared" si="12"/>
        <v>1</v>
      </c>
    </row>
    <row r="777" spans="1:27" ht="23" customHeight="1">
      <c r="A777" s="3" t="s">
        <v>75</v>
      </c>
      <c r="B777" s="3" t="s">
        <v>1627</v>
      </c>
      <c r="C777" s="3" t="s">
        <v>1628</v>
      </c>
      <c r="D777" s="3" t="s">
        <v>30</v>
      </c>
      <c r="E777" s="3" t="s">
        <v>23</v>
      </c>
      <c r="F777" s="25"/>
      <c r="G777" s="3">
        <v>1</v>
      </c>
      <c r="H777" s="3">
        <v>1</v>
      </c>
      <c r="I777" s="3">
        <v>0</v>
      </c>
      <c r="J777" s="3">
        <v>1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18"/>
      <c r="Q777" s="18"/>
      <c r="R777" s="18"/>
      <c r="S777" s="3"/>
      <c r="T777" s="3"/>
      <c r="U777" s="3"/>
      <c r="V777" s="3">
        <v>76789.728287999998</v>
      </c>
      <c r="W777" s="22"/>
      <c r="Z777" s="27">
        <f t="shared" si="12"/>
        <v>1</v>
      </c>
    </row>
    <row r="778" spans="1:27" ht="23" customHeight="1">
      <c r="A778" s="3" t="s">
        <v>75</v>
      </c>
      <c r="B778" s="3" t="s">
        <v>1629</v>
      </c>
      <c r="C778" s="3" t="s">
        <v>1630</v>
      </c>
      <c r="D778" s="3" t="s">
        <v>30</v>
      </c>
      <c r="E778" s="3" t="s">
        <v>23</v>
      </c>
      <c r="F778" s="25"/>
      <c r="G778" s="3">
        <v>1</v>
      </c>
      <c r="H778" s="3">
        <v>1</v>
      </c>
      <c r="I778" s="3">
        <v>0</v>
      </c>
      <c r="J778" s="3">
        <v>1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18"/>
      <c r="Q778" s="18"/>
      <c r="R778" s="18"/>
      <c r="S778" s="3"/>
      <c r="T778" s="3"/>
      <c r="U778" s="3"/>
      <c r="V778" s="3">
        <v>0</v>
      </c>
      <c r="W778" s="22"/>
      <c r="Z778" s="27">
        <f t="shared" si="12"/>
        <v>1</v>
      </c>
    </row>
    <row r="779" spans="1:27" ht="20" customHeight="1">
      <c r="A779" s="3" t="s">
        <v>1631</v>
      </c>
      <c r="B779" s="3" t="s">
        <v>1632</v>
      </c>
      <c r="C779" s="3" t="s">
        <v>1633</v>
      </c>
      <c r="D779" s="3" t="s">
        <v>30</v>
      </c>
      <c r="E779" s="3" t="s">
        <v>23</v>
      </c>
      <c r="F779" s="25"/>
      <c r="G779" s="3">
        <v>2</v>
      </c>
      <c r="H779" s="3">
        <v>3</v>
      </c>
      <c r="I779" s="3">
        <v>0</v>
      </c>
      <c r="J779" s="3">
        <v>3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18"/>
      <c r="Q779" s="18"/>
      <c r="R779" s="18"/>
      <c r="S779" s="3"/>
      <c r="T779" s="3">
        <v>0</v>
      </c>
      <c r="U779" s="3">
        <v>-1</v>
      </c>
      <c r="V779" s="3"/>
      <c r="W779" s="22"/>
      <c r="Z779" s="27">
        <f t="shared" si="12"/>
        <v>1.5</v>
      </c>
    </row>
    <row r="780" spans="1:27" ht="23" customHeight="1">
      <c r="A780" s="3" t="s">
        <v>1437</v>
      </c>
      <c r="B780" s="3" t="s">
        <v>1634</v>
      </c>
      <c r="C780" s="3" t="s">
        <v>1635</v>
      </c>
      <c r="D780" s="3" t="s">
        <v>22</v>
      </c>
      <c r="E780" s="3" t="s">
        <v>23</v>
      </c>
      <c r="F780" s="25"/>
      <c r="G780" s="3">
        <v>2</v>
      </c>
      <c r="H780" s="3">
        <v>3</v>
      </c>
      <c r="I780" s="3">
        <v>0</v>
      </c>
      <c r="J780" s="3">
        <v>3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18"/>
      <c r="Q780" s="18"/>
      <c r="R780" s="18"/>
      <c r="S780" s="3"/>
      <c r="T780" s="3"/>
      <c r="U780" s="3"/>
      <c r="V780" s="3">
        <v>7961.13</v>
      </c>
      <c r="W780" s="22"/>
      <c r="Z780" s="27">
        <f t="shared" si="12"/>
        <v>1.5</v>
      </c>
    </row>
    <row r="781" spans="1:27" ht="20" customHeight="1">
      <c r="A781" s="3" t="s">
        <v>1330</v>
      </c>
      <c r="B781" s="3" t="s">
        <v>1636</v>
      </c>
      <c r="C781" s="3" t="s">
        <v>1637</v>
      </c>
      <c r="D781" s="3" t="s">
        <v>30</v>
      </c>
      <c r="E781" s="3" t="s">
        <v>23</v>
      </c>
      <c r="F781" s="25"/>
      <c r="G781" s="3">
        <v>2</v>
      </c>
      <c r="H781" s="3">
        <v>9</v>
      </c>
      <c r="I781" s="3">
        <v>0</v>
      </c>
      <c r="J781" s="3">
        <v>7</v>
      </c>
      <c r="K781" s="3">
        <v>2</v>
      </c>
      <c r="L781" s="3">
        <v>0</v>
      </c>
      <c r="M781" s="3">
        <v>0</v>
      </c>
      <c r="N781" s="3">
        <v>0</v>
      </c>
      <c r="O781" s="3">
        <v>0</v>
      </c>
      <c r="P781" s="18"/>
      <c r="Q781" s="18"/>
      <c r="R781" s="18"/>
      <c r="S781" s="3"/>
      <c r="T781" s="3">
        <v>0</v>
      </c>
      <c r="U781" s="3">
        <v>0</v>
      </c>
      <c r="V781" s="3"/>
      <c r="W781" s="22"/>
      <c r="Z781" s="27">
        <f t="shared" si="12"/>
        <v>3.5</v>
      </c>
    </row>
    <row r="782" spans="1:27" ht="23" customHeight="1">
      <c r="A782" s="3" t="s">
        <v>45</v>
      </c>
      <c r="B782" s="3" t="s">
        <v>1638</v>
      </c>
      <c r="C782" s="3" t="s">
        <v>1639</v>
      </c>
      <c r="D782" s="3" t="s">
        <v>22</v>
      </c>
      <c r="E782" s="3" t="s">
        <v>23</v>
      </c>
      <c r="F782" s="25"/>
      <c r="G782" s="3">
        <v>1</v>
      </c>
      <c r="H782" s="3">
        <v>2</v>
      </c>
      <c r="I782" s="3">
        <v>0</v>
      </c>
      <c r="J782" s="3">
        <v>1</v>
      </c>
      <c r="K782" s="3">
        <v>0</v>
      </c>
      <c r="L782" s="3">
        <v>0</v>
      </c>
      <c r="M782" s="3">
        <v>0</v>
      </c>
      <c r="N782" s="3">
        <v>0</v>
      </c>
      <c r="O782" s="3">
        <v>1</v>
      </c>
      <c r="P782" s="18"/>
      <c r="Q782" s="18"/>
      <c r="R782" s="18"/>
      <c r="S782" s="3"/>
      <c r="T782" s="3">
        <v>0</v>
      </c>
      <c r="U782" s="3">
        <v>-1</v>
      </c>
      <c r="V782" s="3">
        <v>11057352.9088</v>
      </c>
      <c r="W782" s="22"/>
      <c r="Z782" s="27">
        <f t="shared" si="12"/>
        <v>1</v>
      </c>
    </row>
    <row r="783" spans="1:27" ht="34" customHeight="1">
      <c r="A783" s="3" t="s">
        <v>1496</v>
      </c>
      <c r="B783" s="3" t="s">
        <v>1640</v>
      </c>
      <c r="C783" s="3" t="s">
        <v>817</v>
      </c>
      <c r="D783" s="3" t="s">
        <v>22</v>
      </c>
      <c r="E783" s="3" t="s">
        <v>23</v>
      </c>
      <c r="F783" s="25"/>
      <c r="G783" s="3">
        <v>1</v>
      </c>
      <c r="H783" s="3">
        <v>9</v>
      </c>
      <c r="I783" s="3">
        <v>0</v>
      </c>
      <c r="J783" s="3">
        <v>4</v>
      </c>
      <c r="K783" s="3">
        <v>0</v>
      </c>
      <c r="L783" s="3">
        <v>0</v>
      </c>
      <c r="M783" s="3">
        <v>0</v>
      </c>
      <c r="N783" s="3">
        <v>1</v>
      </c>
      <c r="O783" s="3">
        <v>4</v>
      </c>
      <c r="P783" s="18"/>
      <c r="Q783" s="18"/>
      <c r="R783" s="18"/>
      <c r="S783" s="3"/>
      <c r="T783" s="3">
        <v>0</v>
      </c>
      <c r="U783" s="3">
        <v>-2</v>
      </c>
      <c r="V783" s="3">
        <v>10325260.428995</v>
      </c>
      <c r="W783" s="22"/>
      <c r="Z783" s="27">
        <f t="shared" si="12"/>
        <v>4</v>
      </c>
    </row>
    <row r="784" spans="1:27" ht="20" customHeight="1">
      <c r="A784" s="3" t="s">
        <v>45</v>
      </c>
      <c r="B784" s="3" t="s">
        <v>1641</v>
      </c>
      <c r="C784" s="3" t="s">
        <v>1642</v>
      </c>
      <c r="D784" s="3" t="s">
        <v>22</v>
      </c>
      <c r="E784" s="3" t="s">
        <v>23</v>
      </c>
      <c r="F784" s="25"/>
      <c r="G784" s="3">
        <v>1</v>
      </c>
      <c r="H784" s="3">
        <v>2</v>
      </c>
      <c r="I784" s="3">
        <v>0</v>
      </c>
      <c r="J784" s="3">
        <v>2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18"/>
      <c r="Q784" s="18"/>
      <c r="R784" s="18"/>
      <c r="S784" s="3"/>
      <c r="T784" s="3"/>
      <c r="U784" s="3"/>
      <c r="V784" s="3">
        <v>8876157.3359999992</v>
      </c>
      <c r="W784" s="22"/>
      <c r="Z784" s="27">
        <f t="shared" si="12"/>
        <v>2</v>
      </c>
    </row>
    <row r="785" spans="1:26" ht="23" customHeight="1">
      <c r="A785" s="3" t="s">
        <v>19</v>
      </c>
      <c r="B785" s="3" t="s">
        <v>1643</v>
      </c>
      <c r="C785" s="3" t="s">
        <v>1644</v>
      </c>
      <c r="D785" s="3" t="s">
        <v>22</v>
      </c>
      <c r="E785" s="3" t="s">
        <v>91</v>
      </c>
      <c r="F785" s="25"/>
      <c r="G785" s="3">
        <v>1</v>
      </c>
      <c r="H785" s="3">
        <v>6</v>
      </c>
      <c r="I785" s="3">
        <v>0</v>
      </c>
      <c r="J785" s="3">
        <v>1</v>
      </c>
      <c r="K785" s="3">
        <v>0</v>
      </c>
      <c r="L785" s="3">
        <v>0</v>
      </c>
      <c r="M785" s="3">
        <v>0</v>
      </c>
      <c r="N785" s="3">
        <v>3</v>
      </c>
      <c r="O785" s="3">
        <v>2</v>
      </c>
      <c r="P785" s="18"/>
      <c r="Q785" s="18"/>
      <c r="R785" s="18"/>
      <c r="S785" s="3"/>
      <c r="T785" s="3">
        <v>-1</v>
      </c>
      <c r="U785" s="3">
        <v>-3</v>
      </c>
      <c r="V785" s="3"/>
      <c r="W785" s="22"/>
      <c r="Z785" s="27">
        <f t="shared" si="12"/>
        <v>1</v>
      </c>
    </row>
    <row r="786" spans="1:26" ht="23" customHeight="1">
      <c r="A786" s="3" t="s">
        <v>1645</v>
      </c>
      <c r="B786" s="3" t="s">
        <v>1646</v>
      </c>
      <c r="C786" s="3" t="s">
        <v>1647</v>
      </c>
      <c r="D786" s="3" t="s">
        <v>22</v>
      </c>
      <c r="E786" s="3" t="s">
        <v>23</v>
      </c>
      <c r="F786" s="25"/>
      <c r="G786" s="3">
        <v>2</v>
      </c>
      <c r="H786" s="3">
        <v>5</v>
      </c>
      <c r="I786" s="3">
        <v>0</v>
      </c>
      <c r="J786" s="3">
        <v>3</v>
      </c>
      <c r="K786" s="3">
        <v>0</v>
      </c>
      <c r="L786" s="3">
        <v>0</v>
      </c>
      <c r="M786" s="3">
        <v>1</v>
      </c>
      <c r="N786" s="3">
        <v>0</v>
      </c>
      <c r="O786" s="3">
        <v>2</v>
      </c>
      <c r="P786" s="18"/>
      <c r="Q786" s="18"/>
      <c r="R786" s="18"/>
      <c r="S786" s="3"/>
      <c r="T786" s="3">
        <v>0</v>
      </c>
      <c r="U786" s="3">
        <v>-6</v>
      </c>
      <c r="V786" s="3">
        <v>144284.76666666666</v>
      </c>
      <c r="W786" s="22"/>
      <c r="Z786" s="27">
        <f t="shared" si="12"/>
        <v>1.5</v>
      </c>
    </row>
    <row r="787" spans="1:26" ht="23" customHeight="1">
      <c r="A787" s="3" t="s">
        <v>1139</v>
      </c>
      <c r="B787" s="3" t="s">
        <v>1648</v>
      </c>
      <c r="C787" s="3" t="s">
        <v>1649</v>
      </c>
      <c r="D787" s="3" t="s">
        <v>22</v>
      </c>
      <c r="E787" s="3" t="s">
        <v>23</v>
      </c>
      <c r="F787" s="25"/>
      <c r="G787" s="3">
        <v>4</v>
      </c>
      <c r="H787" s="3">
        <v>9</v>
      </c>
      <c r="I787" s="3">
        <v>0</v>
      </c>
      <c r="J787" s="3">
        <v>7</v>
      </c>
      <c r="K787" s="3">
        <v>0</v>
      </c>
      <c r="L787" s="3">
        <v>0</v>
      </c>
      <c r="M787" s="3">
        <v>1</v>
      </c>
      <c r="N787" s="3">
        <v>0</v>
      </c>
      <c r="O787" s="3">
        <v>2</v>
      </c>
      <c r="P787" s="18"/>
      <c r="Q787" s="18"/>
      <c r="R787" s="18"/>
      <c r="S787" s="3"/>
      <c r="T787" s="3">
        <v>0</v>
      </c>
      <c r="U787" s="3">
        <v>-8</v>
      </c>
      <c r="V787" s="3">
        <v>165365.9632560297</v>
      </c>
      <c r="W787" s="22"/>
      <c r="Z787" s="27">
        <f t="shared" si="12"/>
        <v>1.75</v>
      </c>
    </row>
    <row r="788" spans="1:26" ht="20" customHeight="1">
      <c r="A788" s="3" t="s">
        <v>92</v>
      </c>
      <c r="B788" s="3" t="s">
        <v>1650</v>
      </c>
      <c r="C788" s="3" t="s">
        <v>1651</v>
      </c>
      <c r="D788" s="3" t="s">
        <v>22</v>
      </c>
      <c r="E788" s="3" t="s">
        <v>23</v>
      </c>
      <c r="F788" s="25"/>
      <c r="G788" s="3">
        <v>1</v>
      </c>
      <c r="H788" s="3">
        <v>2</v>
      </c>
      <c r="I788" s="3">
        <v>0</v>
      </c>
      <c r="J788" s="3">
        <v>2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18"/>
      <c r="Q788" s="18"/>
      <c r="R788" s="18"/>
      <c r="S788" s="3"/>
      <c r="T788" s="3"/>
      <c r="U788" s="3"/>
      <c r="V788" s="3"/>
      <c r="W788" s="22"/>
      <c r="Z788" s="27">
        <f t="shared" si="12"/>
        <v>2</v>
      </c>
    </row>
    <row r="789" spans="1:26" ht="23" customHeight="1">
      <c r="A789" s="3" t="s">
        <v>1652</v>
      </c>
      <c r="B789" s="3" t="s">
        <v>1653</v>
      </c>
      <c r="C789" s="3" t="s">
        <v>1654</v>
      </c>
      <c r="D789" s="3" t="s">
        <v>22</v>
      </c>
      <c r="E789" s="3" t="s">
        <v>23</v>
      </c>
      <c r="F789" s="25"/>
      <c r="G789" s="3">
        <v>1</v>
      </c>
      <c r="H789" s="3">
        <v>1</v>
      </c>
      <c r="I789" s="3">
        <v>0</v>
      </c>
      <c r="J789" s="3">
        <v>1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18"/>
      <c r="Q789" s="18"/>
      <c r="R789" s="18"/>
      <c r="S789" s="3"/>
      <c r="T789" s="3"/>
      <c r="U789" s="3"/>
      <c r="V789" s="3"/>
      <c r="W789" s="22"/>
      <c r="Z789" s="27">
        <f t="shared" si="12"/>
        <v>1</v>
      </c>
    </row>
    <row r="790" spans="1:26" ht="23" customHeight="1">
      <c r="A790" s="3" t="s">
        <v>1652</v>
      </c>
      <c r="B790" s="3" t="s">
        <v>1655</v>
      </c>
      <c r="C790" s="3" t="s">
        <v>1654</v>
      </c>
      <c r="D790" s="3" t="s">
        <v>22</v>
      </c>
      <c r="E790" s="3" t="s">
        <v>23</v>
      </c>
      <c r="F790" s="25"/>
      <c r="G790" s="3">
        <v>1</v>
      </c>
      <c r="H790" s="3">
        <v>1</v>
      </c>
      <c r="I790" s="3">
        <v>0</v>
      </c>
      <c r="J790" s="3">
        <v>1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18"/>
      <c r="Q790" s="18"/>
      <c r="R790" s="18"/>
      <c r="S790" s="3"/>
      <c r="T790" s="3"/>
      <c r="U790" s="3"/>
      <c r="V790" s="3">
        <v>64856.77</v>
      </c>
      <c r="W790" s="22"/>
      <c r="Z790" s="27">
        <f t="shared" si="12"/>
        <v>1</v>
      </c>
    </row>
    <row r="791" spans="1:26" ht="23" customHeight="1">
      <c r="A791" s="3" t="s">
        <v>791</v>
      </c>
      <c r="B791" s="3" t="s">
        <v>1656</v>
      </c>
      <c r="C791" s="3" t="s">
        <v>1657</v>
      </c>
      <c r="D791" s="3" t="s">
        <v>22</v>
      </c>
      <c r="E791" s="3" t="s">
        <v>23</v>
      </c>
      <c r="F791" s="25"/>
      <c r="G791" s="3">
        <v>1</v>
      </c>
      <c r="H791" s="3">
        <v>1</v>
      </c>
      <c r="I791" s="3">
        <v>0</v>
      </c>
      <c r="J791" s="3">
        <v>1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18"/>
      <c r="Q791" s="18"/>
      <c r="R791" s="18"/>
      <c r="S791" s="3"/>
      <c r="T791" s="3"/>
      <c r="U791" s="3"/>
      <c r="V791" s="3">
        <v>130275.43706125001</v>
      </c>
      <c r="W791" s="22"/>
      <c r="Z791" s="27">
        <f t="shared" si="12"/>
        <v>1</v>
      </c>
    </row>
    <row r="792" spans="1:26" ht="23" customHeight="1">
      <c r="A792" s="3" t="s">
        <v>897</v>
      </c>
      <c r="B792" s="3" t="s">
        <v>1658</v>
      </c>
      <c r="C792" s="3" t="s">
        <v>1659</v>
      </c>
      <c r="D792" s="3" t="s">
        <v>30</v>
      </c>
      <c r="E792" s="3" t="s">
        <v>23</v>
      </c>
      <c r="F792" s="25"/>
      <c r="G792" s="3">
        <v>1</v>
      </c>
      <c r="H792" s="3">
        <v>1</v>
      </c>
      <c r="I792" s="3">
        <v>0</v>
      </c>
      <c r="J792" s="3">
        <v>1</v>
      </c>
      <c r="K792" s="3">
        <v>0</v>
      </c>
      <c r="L792" s="3">
        <v>0</v>
      </c>
      <c r="M792" s="3">
        <v>1</v>
      </c>
      <c r="N792" s="3">
        <v>0</v>
      </c>
      <c r="O792" s="3">
        <v>0</v>
      </c>
      <c r="P792" s="18"/>
      <c r="Q792" s="18"/>
      <c r="R792" s="18"/>
      <c r="S792" s="3"/>
      <c r="T792" s="3">
        <v>0</v>
      </c>
      <c r="U792" s="3">
        <v>-1</v>
      </c>
      <c r="V792" s="3">
        <v>107617.7209119375</v>
      </c>
      <c r="W792" s="22"/>
      <c r="Z792" s="27">
        <f t="shared" si="12"/>
        <v>1</v>
      </c>
    </row>
    <row r="793" spans="1:26" ht="23" customHeight="1">
      <c r="A793" s="3" t="s">
        <v>1660</v>
      </c>
      <c r="B793" s="3" t="s">
        <v>1661</v>
      </c>
      <c r="C793" s="3" t="s">
        <v>1662</v>
      </c>
      <c r="D793" s="3" t="s">
        <v>30</v>
      </c>
      <c r="E793" s="3" t="s">
        <v>23</v>
      </c>
      <c r="F793" s="25"/>
      <c r="G793" s="3">
        <v>2</v>
      </c>
      <c r="H793" s="3">
        <v>2</v>
      </c>
      <c r="I793" s="3">
        <v>0</v>
      </c>
      <c r="J793" s="3">
        <v>2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18"/>
      <c r="Q793" s="18"/>
      <c r="R793" s="18"/>
      <c r="S793" s="3"/>
      <c r="T793" s="3">
        <v>0</v>
      </c>
      <c r="U793" s="3">
        <v>-1</v>
      </c>
      <c r="V793" s="3">
        <v>92834.242522999994</v>
      </c>
      <c r="W793" s="22"/>
      <c r="Z793" s="27">
        <f t="shared" si="12"/>
        <v>1</v>
      </c>
    </row>
    <row r="794" spans="1:26" ht="23" customHeight="1">
      <c r="A794" s="3" t="s">
        <v>219</v>
      </c>
      <c r="B794" s="3" t="s">
        <v>1663</v>
      </c>
      <c r="C794" s="3" t="s">
        <v>1664</v>
      </c>
      <c r="D794" s="3" t="s">
        <v>30</v>
      </c>
      <c r="E794" s="3" t="s">
        <v>23</v>
      </c>
      <c r="F794" s="25"/>
      <c r="G794" s="3">
        <v>1</v>
      </c>
      <c r="H794" s="3">
        <v>10</v>
      </c>
      <c r="I794" s="3">
        <v>0</v>
      </c>
      <c r="J794" s="3">
        <v>10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18"/>
      <c r="Q794" s="18"/>
      <c r="R794" s="18"/>
      <c r="S794" s="3"/>
      <c r="T794" s="3"/>
      <c r="U794" s="3"/>
      <c r="V794" s="3">
        <v>147152.2715885714</v>
      </c>
      <c r="W794" s="22"/>
      <c r="Z794" s="27">
        <f t="shared" si="12"/>
        <v>10</v>
      </c>
    </row>
    <row r="795" spans="1:26" ht="23" customHeight="1">
      <c r="A795" s="3" t="s">
        <v>1665</v>
      </c>
      <c r="B795" s="3" t="s">
        <v>1666</v>
      </c>
      <c r="C795" s="3" t="s">
        <v>1667</v>
      </c>
      <c r="D795" s="3" t="s">
        <v>22</v>
      </c>
      <c r="E795" s="3" t="s">
        <v>23</v>
      </c>
      <c r="F795" s="25"/>
      <c r="G795" s="3">
        <v>1</v>
      </c>
      <c r="H795" s="3">
        <v>2</v>
      </c>
      <c r="I795" s="3">
        <v>0</v>
      </c>
      <c r="J795" s="3">
        <v>2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18"/>
      <c r="Q795" s="18"/>
      <c r="R795" s="18"/>
      <c r="S795" s="3"/>
      <c r="T795" s="3"/>
      <c r="U795" s="3"/>
      <c r="V795" s="3"/>
      <c r="W795" s="22"/>
      <c r="Z795" s="27">
        <f t="shared" si="12"/>
        <v>2</v>
      </c>
    </row>
    <row r="796" spans="1:26" ht="23" customHeight="1">
      <c r="A796" s="3" t="s">
        <v>1668</v>
      </c>
      <c r="B796" s="3" t="s">
        <v>1669</v>
      </c>
      <c r="C796" s="3" t="s">
        <v>1670</v>
      </c>
      <c r="D796" s="3" t="s">
        <v>22</v>
      </c>
      <c r="E796" s="3" t="s">
        <v>23</v>
      </c>
      <c r="F796" s="25"/>
      <c r="G796" s="3">
        <v>2</v>
      </c>
      <c r="H796" s="3">
        <v>4</v>
      </c>
      <c r="I796" s="3">
        <v>0</v>
      </c>
      <c r="J796" s="3">
        <v>3</v>
      </c>
      <c r="K796" s="3">
        <v>0</v>
      </c>
      <c r="L796" s="3">
        <v>0</v>
      </c>
      <c r="M796" s="3">
        <v>0</v>
      </c>
      <c r="N796" s="3">
        <v>0</v>
      </c>
      <c r="O796" s="3">
        <v>1</v>
      </c>
      <c r="P796" s="18"/>
      <c r="Q796" s="18"/>
      <c r="R796" s="18"/>
      <c r="S796" s="3"/>
      <c r="T796" s="3">
        <v>0</v>
      </c>
      <c r="U796" s="3">
        <v>-3</v>
      </c>
      <c r="V796" s="3">
        <v>146123.50001511112</v>
      </c>
      <c r="W796" s="22"/>
      <c r="Z796" s="27">
        <f t="shared" si="12"/>
        <v>1.5</v>
      </c>
    </row>
    <row r="797" spans="1:26" ht="23" customHeight="1">
      <c r="A797" s="3" t="s">
        <v>1645</v>
      </c>
      <c r="B797" s="3" t="s">
        <v>1671</v>
      </c>
      <c r="C797" s="3" t="s">
        <v>1672</v>
      </c>
      <c r="D797" s="3" t="s">
        <v>22</v>
      </c>
      <c r="E797" s="3" t="s">
        <v>23</v>
      </c>
      <c r="F797" s="25"/>
      <c r="G797" s="3">
        <v>1</v>
      </c>
      <c r="H797" s="3">
        <v>2</v>
      </c>
      <c r="I797" s="3">
        <v>0</v>
      </c>
      <c r="J797" s="3">
        <v>2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18"/>
      <c r="Q797" s="18"/>
      <c r="R797" s="18"/>
      <c r="S797" s="3"/>
      <c r="T797" s="3"/>
      <c r="U797" s="3"/>
      <c r="V797" s="3"/>
      <c r="W797" s="22"/>
      <c r="Z797" s="27">
        <f t="shared" si="12"/>
        <v>2</v>
      </c>
    </row>
    <row r="798" spans="1:26" ht="23" customHeight="1">
      <c r="A798" s="3" t="s">
        <v>1139</v>
      </c>
      <c r="B798" s="3" t="s">
        <v>1673</v>
      </c>
      <c r="C798" s="3" t="s">
        <v>1674</v>
      </c>
      <c r="D798" s="3" t="s">
        <v>22</v>
      </c>
      <c r="E798" s="3" t="s">
        <v>23</v>
      </c>
      <c r="F798" s="25"/>
      <c r="G798" s="3">
        <v>1</v>
      </c>
      <c r="H798" s="3">
        <v>2</v>
      </c>
      <c r="I798" s="3">
        <v>0</v>
      </c>
      <c r="J798" s="3">
        <v>2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18"/>
      <c r="Q798" s="18"/>
      <c r="R798" s="18"/>
      <c r="S798" s="3">
        <v>1</v>
      </c>
      <c r="T798" s="3"/>
      <c r="U798" s="3"/>
      <c r="V798" s="3">
        <v>316532.40165000001</v>
      </c>
      <c r="W798" s="22"/>
      <c r="Z798" s="27">
        <f t="shared" si="12"/>
        <v>2</v>
      </c>
    </row>
    <row r="799" spans="1:26" ht="23" customHeight="1">
      <c r="A799" s="3" t="s">
        <v>547</v>
      </c>
      <c r="B799" s="3" t="s">
        <v>1675</v>
      </c>
      <c r="C799" s="3" t="s">
        <v>1676</v>
      </c>
      <c r="D799" s="3" t="s">
        <v>22</v>
      </c>
      <c r="E799" s="3" t="s">
        <v>23</v>
      </c>
      <c r="F799" s="25"/>
      <c r="G799" s="3">
        <v>1</v>
      </c>
      <c r="H799" s="3">
        <v>1</v>
      </c>
      <c r="I799" s="3">
        <v>0</v>
      </c>
      <c r="J799" s="3">
        <v>1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18"/>
      <c r="Q799" s="18"/>
      <c r="R799" s="18"/>
      <c r="S799" s="3"/>
      <c r="T799" s="3">
        <v>0</v>
      </c>
      <c r="U799" s="3">
        <v>-1</v>
      </c>
      <c r="V799" s="3"/>
      <c r="W799" s="22"/>
      <c r="Z799" s="27">
        <f t="shared" si="12"/>
        <v>1</v>
      </c>
    </row>
    <row r="800" spans="1:26" ht="23" customHeight="1">
      <c r="A800" s="3" t="s">
        <v>460</v>
      </c>
      <c r="B800" s="3" t="s">
        <v>1677</v>
      </c>
      <c r="C800" s="3" t="s">
        <v>1678</v>
      </c>
      <c r="D800" s="3" t="s">
        <v>22</v>
      </c>
      <c r="E800" s="3" t="s">
        <v>23</v>
      </c>
      <c r="F800" s="25"/>
      <c r="G800" s="3">
        <v>2</v>
      </c>
      <c r="H800" s="3">
        <v>4</v>
      </c>
      <c r="I800" s="3">
        <v>0</v>
      </c>
      <c r="J800" s="3">
        <v>3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18"/>
      <c r="Q800" s="18"/>
      <c r="R800" s="18"/>
      <c r="S800" s="3"/>
      <c r="T800" s="3">
        <v>0</v>
      </c>
      <c r="U800" s="3">
        <v>-1</v>
      </c>
      <c r="V800" s="3"/>
      <c r="W800" s="22"/>
      <c r="Z800" s="27">
        <f t="shared" si="12"/>
        <v>1.5</v>
      </c>
    </row>
    <row r="801" spans="1:26" ht="23" customHeight="1">
      <c r="A801" s="3" t="s">
        <v>460</v>
      </c>
      <c r="B801" s="3" t="s">
        <v>1679</v>
      </c>
      <c r="C801" s="3" t="s">
        <v>1678</v>
      </c>
      <c r="D801" s="3" t="s">
        <v>22</v>
      </c>
      <c r="E801" s="3" t="s">
        <v>23</v>
      </c>
      <c r="F801" s="25"/>
      <c r="G801" s="3">
        <v>4</v>
      </c>
      <c r="H801" s="3">
        <v>4</v>
      </c>
      <c r="I801" s="3">
        <v>0</v>
      </c>
      <c r="J801" s="3">
        <v>3</v>
      </c>
      <c r="K801" s="3">
        <v>0</v>
      </c>
      <c r="L801" s="3">
        <v>0</v>
      </c>
      <c r="M801" s="3">
        <v>0</v>
      </c>
      <c r="N801" s="3">
        <v>0</v>
      </c>
      <c r="O801" s="3">
        <v>1</v>
      </c>
      <c r="P801" s="18"/>
      <c r="Q801" s="18"/>
      <c r="R801" s="18"/>
      <c r="S801" s="3"/>
      <c r="T801" s="3">
        <v>-1</v>
      </c>
      <c r="U801" s="3">
        <v>-1</v>
      </c>
      <c r="V801" s="3">
        <v>102028.07261805556</v>
      </c>
      <c r="W801" s="22"/>
      <c r="Z801" s="27">
        <f t="shared" si="12"/>
        <v>0.75</v>
      </c>
    </row>
    <row r="802" spans="1:26" ht="23" customHeight="1">
      <c r="A802" s="3" t="s">
        <v>999</v>
      </c>
      <c r="B802" s="3" t="s">
        <v>1680</v>
      </c>
      <c r="C802" s="3" t="s">
        <v>1681</v>
      </c>
      <c r="D802" s="3" t="s">
        <v>22</v>
      </c>
      <c r="E802" s="3" t="s">
        <v>23</v>
      </c>
      <c r="F802" s="25"/>
      <c r="G802" s="3">
        <v>1</v>
      </c>
      <c r="H802" s="3">
        <v>3</v>
      </c>
      <c r="I802" s="3">
        <v>0</v>
      </c>
      <c r="J802" s="3">
        <v>3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18"/>
      <c r="Q802" s="18"/>
      <c r="R802" s="18"/>
      <c r="S802" s="3"/>
      <c r="T802" s="3">
        <v>0</v>
      </c>
      <c r="U802" s="3">
        <v>-2</v>
      </c>
      <c r="V802" s="3">
        <v>732369.86</v>
      </c>
      <c r="W802" s="22"/>
      <c r="Z802" s="27">
        <f t="shared" si="12"/>
        <v>3</v>
      </c>
    </row>
    <row r="803" spans="1:26" ht="23" customHeight="1">
      <c r="A803" s="3" t="s">
        <v>999</v>
      </c>
      <c r="B803" s="3" t="s">
        <v>1682</v>
      </c>
      <c r="C803" s="3" t="s">
        <v>1683</v>
      </c>
      <c r="D803" s="3" t="s">
        <v>22</v>
      </c>
      <c r="E803" s="3" t="s">
        <v>23</v>
      </c>
      <c r="F803" s="25"/>
      <c r="G803" s="3">
        <v>1</v>
      </c>
      <c r="H803" s="3">
        <v>2</v>
      </c>
      <c r="I803" s="3">
        <v>0</v>
      </c>
      <c r="J803" s="3">
        <v>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18"/>
      <c r="Q803" s="18"/>
      <c r="R803" s="18"/>
      <c r="S803" s="3"/>
      <c r="T803" s="3">
        <v>0</v>
      </c>
      <c r="U803" s="3">
        <v>-2</v>
      </c>
      <c r="V803" s="3"/>
      <c r="W803" s="22"/>
      <c r="Z803" s="27">
        <f t="shared" si="12"/>
        <v>2</v>
      </c>
    </row>
    <row r="804" spans="1:26" ht="23" customHeight="1">
      <c r="A804" s="3" t="s">
        <v>999</v>
      </c>
      <c r="B804" s="3" t="s">
        <v>1684</v>
      </c>
      <c r="C804" s="3" t="s">
        <v>1681</v>
      </c>
      <c r="D804" s="3" t="s">
        <v>22</v>
      </c>
      <c r="E804" s="3" t="s">
        <v>23</v>
      </c>
      <c r="F804" s="25"/>
      <c r="G804" s="3">
        <v>1</v>
      </c>
      <c r="H804" s="3">
        <v>5</v>
      </c>
      <c r="I804" s="3">
        <v>0</v>
      </c>
      <c r="J804" s="3">
        <v>3</v>
      </c>
      <c r="K804" s="3">
        <v>0</v>
      </c>
      <c r="L804" s="3">
        <v>0</v>
      </c>
      <c r="M804" s="3">
        <v>0</v>
      </c>
      <c r="N804" s="3">
        <v>0</v>
      </c>
      <c r="O804" s="3">
        <v>2</v>
      </c>
      <c r="P804" s="18"/>
      <c r="Q804" s="18"/>
      <c r="R804" s="18"/>
      <c r="S804" s="3"/>
      <c r="T804" s="3">
        <v>0</v>
      </c>
      <c r="U804" s="3">
        <v>-5</v>
      </c>
      <c r="V804" s="3">
        <v>2369533.5</v>
      </c>
      <c r="W804" s="22"/>
      <c r="Z804" s="27">
        <f t="shared" si="12"/>
        <v>3</v>
      </c>
    </row>
    <row r="805" spans="1:26" ht="20" customHeight="1">
      <c r="A805" s="3" t="s">
        <v>478</v>
      </c>
      <c r="B805" s="3" t="s">
        <v>1685</v>
      </c>
      <c r="C805" s="3" t="s">
        <v>1686</v>
      </c>
      <c r="D805" s="3" t="s">
        <v>30</v>
      </c>
      <c r="E805" s="3" t="s">
        <v>23</v>
      </c>
      <c r="F805" s="25"/>
      <c r="G805" s="3">
        <v>1</v>
      </c>
      <c r="H805" s="3">
        <v>1</v>
      </c>
      <c r="I805" s="3">
        <v>0</v>
      </c>
      <c r="J805" s="3">
        <v>1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18"/>
      <c r="Q805" s="18"/>
      <c r="R805" s="18"/>
      <c r="S805" s="3"/>
      <c r="T805" s="3"/>
      <c r="U805" s="3"/>
      <c r="V805" s="3">
        <v>0</v>
      </c>
      <c r="W805" s="22"/>
      <c r="Z805" s="27">
        <f t="shared" si="12"/>
        <v>1</v>
      </c>
    </row>
    <row r="806" spans="1:26" ht="20" customHeight="1">
      <c r="A806" s="3" t="s">
        <v>27</v>
      </c>
      <c r="B806" s="3" t="s">
        <v>1687</v>
      </c>
      <c r="C806" s="3" t="s">
        <v>1196</v>
      </c>
      <c r="D806" s="3" t="s">
        <v>22</v>
      </c>
      <c r="E806" s="3" t="s">
        <v>23</v>
      </c>
      <c r="F806" s="25"/>
      <c r="G806" s="3">
        <v>3</v>
      </c>
      <c r="H806" s="3">
        <v>13</v>
      </c>
      <c r="I806" s="3">
        <v>0</v>
      </c>
      <c r="J806" s="3">
        <v>12</v>
      </c>
      <c r="K806" s="3">
        <v>0</v>
      </c>
      <c r="L806" s="3">
        <v>0</v>
      </c>
      <c r="M806" s="3">
        <v>0</v>
      </c>
      <c r="N806" s="3">
        <v>0</v>
      </c>
      <c r="O806" s="3">
        <v>1</v>
      </c>
      <c r="P806" s="18"/>
      <c r="Q806" s="18"/>
      <c r="R806" s="18"/>
      <c r="S806" s="3"/>
      <c r="T806" s="3">
        <v>-1</v>
      </c>
      <c r="U806" s="3">
        <v>-14</v>
      </c>
      <c r="V806" s="3"/>
      <c r="W806" s="22"/>
      <c r="Z806" s="27">
        <f t="shared" si="12"/>
        <v>4</v>
      </c>
    </row>
    <row r="807" spans="1:26" ht="23" customHeight="1">
      <c r="A807" s="3" t="s">
        <v>1688</v>
      </c>
      <c r="B807" s="3" t="s">
        <v>1689</v>
      </c>
      <c r="C807" s="3" t="s">
        <v>1690</v>
      </c>
      <c r="D807" s="3" t="s">
        <v>30</v>
      </c>
      <c r="E807" s="3" t="s">
        <v>145</v>
      </c>
      <c r="F807" s="25"/>
      <c r="G807" s="3">
        <v>7</v>
      </c>
      <c r="H807" s="3">
        <v>111</v>
      </c>
      <c r="I807" s="3">
        <v>0</v>
      </c>
      <c r="J807" s="3">
        <v>111</v>
      </c>
      <c r="K807" s="3">
        <v>0</v>
      </c>
      <c r="L807" s="3">
        <v>3</v>
      </c>
      <c r="M807" s="3">
        <v>0</v>
      </c>
      <c r="N807" s="3">
        <v>0</v>
      </c>
      <c r="O807" s="3">
        <v>0</v>
      </c>
      <c r="P807" s="18"/>
      <c r="Q807" s="18"/>
      <c r="R807" s="18"/>
      <c r="S807" s="3">
        <v>100</v>
      </c>
      <c r="T807" s="3">
        <v>0</v>
      </c>
      <c r="U807" s="3">
        <v>-118</v>
      </c>
      <c r="V807" s="3">
        <v>866.91394208706504</v>
      </c>
      <c r="W807" s="22"/>
      <c r="Z807" s="27">
        <f t="shared" si="12"/>
        <v>15.857142857142858</v>
      </c>
    </row>
    <row r="808" spans="1:26" ht="23" customHeight="1">
      <c r="A808" s="3" t="s">
        <v>31</v>
      </c>
      <c r="B808" s="3" t="s">
        <v>1691</v>
      </c>
      <c r="C808" s="3" t="s">
        <v>1692</v>
      </c>
      <c r="D808" s="3" t="s">
        <v>30</v>
      </c>
      <c r="E808" s="3" t="s">
        <v>145</v>
      </c>
      <c r="F808" s="25"/>
      <c r="G808" s="3">
        <v>11</v>
      </c>
      <c r="H808" s="3">
        <v>48</v>
      </c>
      <c r="I808" s="3">
        <v>0</v>
      </c>
      <c r="J808" s="3">
        <v>47</v>
      </c>
      <c r="K808" s="3">
        <v>0</v>
      </c>
      <c r="L808" s="3">
        <v>1</v>
      </c>
      <c r="M808" s="3">
        <v>0</v>
      </c>
      <c r="N808" s="3">
        <v>0</v>
      </c>
      <c r="O808" s="3">
        <v>1</v>
      </c>
      <c r="P808" s="18"/>
      <c r="Q808" s="18"/>
      <c r="R808" s="18"/>
      <c r="S808" s="3"/>
      <c r="T808" s="3">
        <v>0</v>
      </c>
      <c r="U808" s="3">
        <v>-4</v>
      </c>
      <c r="V808" s="3">
        <v>127.83379310344826</v>
      </c>
      <c r="W808" s="22"/>
      <c r="Z808" s="27">
        <f t="shared" si="12"/>
        <v>4.2727272727272725</v>
      </c>
    </row>
    <row r="809" spans="1:26" ht="23" customHeight="1">
      <c r="A809" s="3" t="s">
        <v>1693</v>
      </c>
      <c r="B809" s="3" t="s">
        <v>1694</v>
      </c>
      <c r="C809" s="3" t="s">
        <v>1695</v>
      </c>
      <c r="D809" s="3" t="s">
        <v>22</v>
      </c>
      <c r="E809" s="3" t="s">
        <v>23</v>
      </c>
      <c r="F809" s="25"/>
      <c r="G809" s="3">
        <v>2</v>
      </c>
      <c r="H809" s="3">
        <v>10</v>
      </c>
      <c r="I809" s="3">
        <v>0</v>
      </c>
      <c r="J809" s="3">
        <v>4</v>
      </c>
      <c r="K809" s="3">
        <v>0</v>
      </c>
      <c r="L809" s="3">
        <v>0</v>
      </c>
      <c r="M809" s="3">
        <v>0</v>
      </c>
      <c r="N809" s="3">
        <v>0</v>
      </c>
      <c r="O809" s="3">
        <v>6</v>
      </c>
      <c r="P809" s="18"/>
      <c r="Q809" s="18"/>
      <c r="R809" s="18"/>
      <c r="S809" s="3"/>
      <c r="T809" s="3">
        <v>0</v>
      </c>
      <c r="U809" s="3">
        <v>-10</v>
      </c>
      <c r="V809" s="3">
        <v>62763.201818181828</v>
      </c>
      <c r="W809" s="22"/>
      <c r="Z809" s="27">
        <f t="shared" si="12"/>
        <v>2</v>
      </c>
    </row>
    <row r="810" spans="1:26" ht="23" customHeight="1">
      <c r="A810" s="3" t="s">
        <v>1693</v>
      </c>
      <c r="B810" s="3" t="s">
        <v>1696</v>
      </c>
      <c r="C810" s="3" t="s">
        <v>1697</v>
      </c>
      <c r="D810" s="3" t="s">
        <v>22</v>
      </c>
      <c r="E810" s="3" t="s">
        <v>23</v>
      </c>
      <c r="F810" s="25"/>
      <c r="G810" s="3">
        <v>2</v>
      </c>
      <c r="H810" s="3">
        <v>25</v>
      </c>
      <c r="I810" s="3">
        <v>0</v>
      </c>
      <c r="J810" s="3">
        <v>17</v>
      </c>
      <c r="K810" s="3">
        <v>0</v>
      </c>
      <c r="L810" s="3">
        <v>0</v>
      </c>
      <c r="M810" s="3">
        <v>0</v>
      </c>
      <c r="N810" s="3">
        <v>4</v>
      </c>
      <c r="O810" s="3">
        <v>4</v>
      </c>
      <c r="P810" s="18"/>
      <c r="Q810" s="18"/>
      <c r="R810" s="18"/>
      <c r="S810" s="3"/>
      <c r="T810" s="3">
        <v>-8</v>
      </c>
      <c r="U810" s="3">
        <v>-38</v>
      </c>
      <c r="V810" s="3">
        <v>361330.68171874993</v>
      </c>
      <c r="W810" s="22"/>
      <c r="Z810" s="27">
        <f t="shared" si="12"/>
        <v>8.5</v>
      </c>
    </row>
    <row r="811" spans="1:26" ht="23" customHeight="1">
      <c r="A811" s="3" t="s">
        <v>1698</v>
      </c>
      <c r="B811" s="3" t="s">
        <v>1699</v>
      </c>
      <c r="C811" s="3" t="s">
        <v>1700</v>
      </c>
      <c r="D811" s="3" t="s">
        <v>30</v>
      </c>
      <c r="E811" s="3" t="s">
        <v>23</v>
      </c>
      <c r="F811" s="25"/>
      <c r="G811" s="3">
        <v>11</v>
      </c>
      <c r="H811" s="3">
        <v>283</v>
      </c>
      <c r="I811" s="3">
        <v>0</v>
      </c>
      <c r="J811" s="3">
        <v>283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18"/>
      <c r="Q811" s="18"/>
      <c r="R811" s="18"/>
      <c r="S811" s="3">
        <v>33</v>
      </c>
      <c r="T811" s="3">
        <v>0</v>
      </c>
      <c r="U811" s="3">
        <v>-31</v>
      </c>
      <c r="V811" s="3">
        <v>5000</v>
      </c>
      <c r="W811" s="22"/>
      <c r="Z811" s="27">
        <f t="shared" si="12"/>
        <v>25.727272727272727</v>
      </c>
    </row>
    <row r="812" spans="1:26" ht="20" customHeight="1">
      <c r="A812" s="3" t="s">
        <v>1698</v>
      </c>
      <c r="B812" s="3" t="s">
        <v>1701</v>
      </c>
      <c r="C812" s="3" t="s">
        <v>1702</v>
      </c>
      <c r="D812" s="3" t="s">
        <v>30</v>
      </c>
      <c r="E812" s="3" t="s">
        <v>23</v>
      </c>
      <c r="F812" s="25"/>
      <c r="G812" s="3">
        <v>11</v>
      </c>
      <c r="H812" s="3">
        <v>272</v>
      </c>
      <c r="I812" s="3">
        <v>0</v>
      </c>
      <c r="J812" s="3">
        <v>272</v>
      </c>
      <c r="K812" s="3">
        <v>0</v>
      </c>
      <c r="L812" s="3">
        <v>0</v>
      </c>
      <c r="M812" s="3">
        <v>2</v>
      </c>
      <c r="N812" s="3">
        <v>0</v>
      </c>
      <c r="O812" s="3">
        <v>0</v>
      </c>
      <c r="P812" s="18"/>
      <c r="Q812" s="18"/>
      <c r="R812" s="18"/>
      <c r="S812" s="3">
        <v>25</v>
      </c>
      <c r="T812" s="3">
        <v>0</v>
      </c>
      <c r="U812" s="3">
        <v>-53</v>
      </c>
      <c r="V812" s="3">
        <v>2000</v>
      </c>
      <c r="W812" s="22"/>
      <c r="Z812" s="27">
        <f t="shared" si="12"/>
        <v>24.727272727272727</v>
      </c>
    </row>
    <row r="813" spans="1:26" ht="23" customHeight="1">
      <c r="A813" s="3" t="s">
        <v>31</v>
      </c>
      <c r="B813" s="3" t="s">
        <v>1703</v>
      </c>
      <c r="C813" s="3" t="s">
        <v>1704</v>
      </c>
      <c r="D813" s="3" t="s">
        <v>30</v>
      </c>
      <c r="E813" s="3" t="s">
        <v>145</v>
      </c>
      <c r="F813" s="25"/>
      <c r="G813" s="3">
        <v>20</v>
      </c>
      <c r="H813" s="3">
        <v>158</v>
      </c>
      <c r="I813" s="3">
        <v>0</v>
      </c>
      <c r="J813" s="3">
        <v>113</v>
      </c>
      <c r="K813" s="3">
        <v>2</v>
      </c>
      <c r="L813" s="3">
        <v>0</v>
      </c>
      <c r="M813" s="3">
        <v>0</v>
      </c>
      <c r="N813" s="3">
        <v>35</v>
      </c>
      <c r="O813" s="3">
        <v>8</v>
      </c>
      <c r="P813" s="18"/>
      <c r="Q813" s="18"/>
      <c r="R813" s="18"/>
      <c r="S813" s="3">
        <v>1</v>
      </c>
      <c r="T813" s="3">
        <v>-3</v>
      </c>
      <c r="U813" s="3">
        <v>-193</v>
      </c>
      <c r="V813" s="3">
        <v>25161.860000000077</v>
      </c>
      <c r="W813" s="22"/>
      <c r="Z813" s="27">
        <f t="shared" si="12"/>
        <v>5.65</v>
      </c>
    </row>
    <row r="814" spans="1:26" ht="23" customHeight="1">
      <c r="A814" s="3" t="s">
        <v>31</v>
      </c>
      <c r="B814" s="3" t="s">
        <v>1705</v>
      </c>
      <c r="C814" s="3" t="s">
        <v>1706</v>
      </c>
      <c r="D814" s="3" t="s">
        <v>30</v>
      </c>
      <c r="E814" s="3" t="s">
        <v>145</v>
      </c>
      <c r="F814" s="25"/>
      <c r="G814" s="3">
        <v>14</v>
      </c>
      <c r="H814" s="3">
        <v>92</v>
      </c>
      <c r="I814" s="3">
        <v>0</v>
      </c>
      <c r="J814" s="3">
        <v>79</v>
      </c>
      <c r="K814" s="3">
        <v>0</v>
      </c>
      <c r="L814" s="3">
        <v>0</v>
      </c>
      <c r="M814" s="3">
        <v>0</v>
      </c>
      <c r="N814" s="3">
        <v>0</v>
      </c>
      <c r="O814" s="3">
        <v>13</v>
      </c>
      <c r="P814" s="18"/>
      <c r="Q814" s="18"/>
      <c r="R814" s="18"/>
      <c r="S814" s="3"/>
      <c r="T814" s="3">
        <v>-43</v>
      </c>
      <c r="U814" s="3">
        <v>-591</v>
      </c>
      <c r="V814" s="3">
        <v>43867</v>
      </c>
      <c r="W814" s="22"/>
      <c r="Z814" s="27">
        <f t="shared" si="12"/>
        <v>5.6428571428571432</v>
      </c>
    </row>
    <row r="815" spans="1:26" ht="34" customHeight="1">
      <c r="A815" s="3" t="s">
        <v>191</v>
      </c>
      <c r="B815" s="3" t="s">
        <v>1707</v>
      </c>
      <c r="C815" s="3" t="s">
        <v>193</v>
      </c>
      <c r="D815" s="3" t="s">
        <v>22</v>
      </c>
      <c r="E815" s="3" t="s">
        <v>145</v>
      </c>
      <c r="F815" s="25"/>
      <c r="G815" s="3">
        <v>2</v>
      </c>
      <c r="H815" s="3">
        <v>4</v>
      </c>
      <c r="I815" s="3">
        <v>0</v>
      </c>
      <c r="J815" s="3">
        <v>3</v>
      </c>
      <c r="K815" s="3">
        <v>1</v>
      </c>
      <c r="L815" s="3">
        <v>0</v>
      </c>
      <c r="M815" s="3">
        <v>0</v>
      </c>
      <c r="N815" s="3">
        <v>0</v>
      </c>
      <c r="O815" s="3">
        <v>0</v>
      </c>
      <c r="P815" s="18"/>
      <c r="Q815" s="18"/>
      <c r="R815" s="18"/>
      <c r="S815" s="3"/>
      <c r="T815" s="3">
        <v>0</v>
      </c>
      <c r="U815" s="3">
        <v>-8</v>
      </c>
      <c r="V815" s="3"/>
      <c r="W815" s="22"/>
      <c r="Z815" s="27">
        <f t="shared" si="12"/>
        <v>1.5</v>
      </c>
    </row>
    <row r="816" spans="1:26" ht="23" customHeight="1">
      <c r="A816" s="3" t="s">
        <v>329</v>
      </c>
      <c r="B816" s="3" t="s">
        <v>1708</v>
      </c>
      <c r="C816" s="3" t="s">
        <v>1131</v>
      </c>
      <c r="D816" s="3" t="s">
        <v>30</v>
      </c>
      <c r="E816" s="3" t="s">
        <v>145</v>
      </c>
      <c r="F816" s="25" t="s">
        <v>146</v>
      </c>
      <c r="G816" s="3">
        <v>1</v>
      </c>
      <c r="H816" s="3">
        <v>3</v>
      </c>
      <c r="I816" s="3">
        <v>0</v>
      </c>
      <c r="J816" s="3">
        <v>3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18"/>
      <c r="Q816" s="18"/>
      <c r="R816" s="18"/>
      <c r="S816" s="3"/>
      <c r="T816" s="3">
        <v>0</v>
      </c>
      <c r="U816" s="3">
        <v>-1</v>
      </c>
      <c r="V816" s="3">
        <v>3970.7080000000005</v>
      </c>
      <c r="W816" s="22"/>
      <c r="Z816" s="27">
        <f t="shared" si="12"/>
        <v>3</v>
      </c>
    </row>
    <row r="817" spans="1:27" ht="23" customHeight="1">
      <c r="A817" s="3" t="s">
        <v>1693</v>
      </c>
      <c r="B817" s="3" t="s">
        <v>1709</v>
      </c>
      <c r="C817" s="3" t="s">
        <v>1710</v>
      </c>
      <c r="D817" s="3" t="s">
        <v>22</v>
      </c>
      <c r="E817" s="3" t="s">
        <v>23</v>
      </c>
      <c r="F817" s="25"/>
      <c r="G817" s="3">
        <v>2</v>
      </c>
      <c r="H817" s="3">
        <v>10</v>
      </c>
      <c r="I817" s="3">
        <v>0</v>
      </c>
      <c r="J817" s="3">
        <v>9</v>
      </c>
      <c r="K817" s="3">
        <v>0</v>
      </c>
      <c r="L817" s="3">
        <v>0</v>
      </c>
      <c r="M817" s="3">
        <v>0</v>
      </c>
      <c r="N817" s="3">
        <v>0</v>
      </c>
      <c r="O817" s="3">
        <v>1</v>
      </c>
      <c r="P817" s="18"/>
      <c r="Q817" s="18"/>
      <c r="R817" s="18"/>
      <c r="S817" s="3"/>
      <c r="T817" s="3">
        <v>0</v>
      </c>
      <c r="U817" s="3">
        <v>-4</v>
      </c>
      <c r="V817" s="3">
        <v>55574.6</v>
      </c>
      <c r="W817" s="22"/>
      <c r="Z817" s="27">
        <f t="shared" si="12"/>
        <v>4.5</v>
      </c>
    </row>
    <row r="818" spans="1:27" ht="23" customHeight="1">
      <c r="A818" s="3" t="s">
        <v>1206</v>
      </c>
      <c r="B818" s="3" t="s">
        <v>1711</v>
      </c>
      <c r="C818" s="3" t="s">
        <v>1712</v>
      </c>
      <c r="D818" s="3" t="s">
        <v>22</v>
      </c>
      <c r="E818" s="3" t="s">
        <v>23</v>
      </c>
      <c r="F818" s="25"/>
      <c r="G818" s="3">
        <v>2</v>
      </c>
      <c r="H818" s="3">
        <v>6</v>
      </c>
      <c r="I818" s="3">
        <v>0</v>
      </c>
      <c r="J818" s="3">
        <v>6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18"/>
      <c r="Q818" s="18"/>
      <c r="R818" s="18"/>
      <c r="S818" s="3"/>
      <c r="T818" s="3">
        <v>0</v>
      </c>
      <c r="U818" s="3">
        <v>-5</v>
      </c>
      <c r="V818" s="3"/>
      <c r="W818" s="22"/>
      <c r="Z818" s="27">
        <f t="shared" si="12"/>
        <v>3</v>
      </c>
    </row>
    <row r="819" spans="1:27" ht="23" customHeight="1">
      <c r="A819" s="3" t="s">
        <v>1206</v>
      </c>
      <c r="B819" s="3" t="s">
        <v>1713</v>
      </c>
      <c r="C819" s="3" t="s">
        <v>1714</v>
      </c>
      <c r="D819" s="3" t="s">
        <v>22</v>
      </c>
      <c r="E819" s="3" t="s">
        <v>23</v>
      </c>
      <c r="F819" s="25"/>
      <c r="G819" s="3">
        <v>2</v>
      </c>
      <c r="H819" s="3">
        <v>10</v>
      </c>
      <c r="I819" s="3">
        <v>0</v>
      </c>
      <c r="J819" s="3">
        <v>5</v>
      </c>
      <c r="K819" s="3">
        <v>1</v>
      </c>
      <c r="L819" s="3">
        <v>0</v>
      </c>
      <c r="M819" s="3">
        <v>0</v>
      </c>
      <c r="N819" s="3">
        <v>2</v>
      </c>
      <c r="O819" s="3">
        <v>2</v>
      </c>
      <c r="P819" s="18"/>
      <c r="Q819" s="18"/>
      <c r="R819" s="18"/>
      <c r="S819" s="3"/>
      <c r="T819" s="3">
        <v>-1</v>
      </c>
      <c r="U819" s="3">
        <v>-9</v>
      </c>
      <c r="V819" s="3"/>
      <c r="W819" s="22"/>
      <c r="Z819" s="27">
        <f t="shared" si="12"/>
        <v>2.5</v>
      </c>
    </row>
    <row r="820" spans="1:27" ht="23" customHeight="1">
      <c r="A820" s="3" t="s">
        <v>1411</v>
      </c>
      <c r="B820" s="3" t="s">
        <v>1715</v>
      </c>
      <c r="C820" s="3" t="s">
        <v>1716</v>
      </c>
      <c r="D820" s="3" t="s">
        <v>22</v>
      </c>
      <c r="E820" s="3" t="s">
        <v>23</v>
      </c>
      <c r="F820" s="25"/>
      <c r="G820" s="3">
        <v>1</v>
      </c>
      <c r="H820" s="3">
        <v>3</v>
      </c>
      <c r="I820" s="3">
        <v>0</v>
      </c>
      <c r="J820" s="3">
        <v>3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18"/>
      <c r="Q820" s="18"/>
      <c r="R820" s="18"/>
      <c r="S820" s="3"/>
      <c r="T820" s="3">
        <v>0</v>
      </c>
      <c r="U820" s="3">
        <v>-3</v>
      </c>
      <c r="V820" s="3"/>
      <c r="W820" s="22"/>
      <c r="Z820" s="27">
        <f t="shared" si="12"/>
        <v>3</v>
      </c>
    </row>
    <row r="821" spans="1:27" ht="20" customHeight="1">
      <c r="A821" s="3" t="s">
        <v>1717</v>
      </c>
      <c r="B821" s="3" t="s">
        <v>1718</v>
      </c>
      <c r="C821" s="3" t="s">
        <v>1719</v>
      </c>
      <c r="D821" s="3" t="s">
        <v>22</v>
      </c>
      <c r="E821" s="3" t="s">
        <v>23</v>
      </c>
      <c r="F821" s="25"/>
      <c r="G821" s="3">
        <v>2</v>
      </c>
      <c r="H821" s="3">
        <v>3</v>
      </c>
      <c r="I821" s="3">
        <v>0</v>
      </c>
      <c r="J821" s="3">
        <v>3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18"/>
      <c r="Q821" s="18"/>
      <c r="R821" s="18"/>
      <c r="S821" s="3"/>
      <c r="T821" s="3"/>
      <c r="U821" s="3"/>
      <c r="V821" s="3"/>
      <c r="W821" s="22"/>
      <c r="Z821" s="27">
        <f t="shared" si="12"/>
        <v>1.5</v>
      </c>
    </row>
    <row r="822" spans="1:27" ht="23" customHeight="1">
      <c r="A822" s="3" t="s">
        <v>1717</v>
      </c>
      <c r="B822" s="3" t="s">
        <v>1720</v>
      </c>
      <c r="C822" s="3" t="s">
        <v>1721</v>
      </c>
      <c r="D822" s="3" t="s">
        <v>22</v>
      </c>
      <c r="E822" s="3" t="s">
        <v>23</v>
      </c>
      <c r="F822" s="25"/>
      <c r="G822" s="3">
        <v>2</v>
      </c>
      <c r="H822" s="3">
        <v>3</v>
      </c>
      <c r="I822" s="3">
        <v>0</v>
      </c>
      <c r="J822" s="3">
        <v>3</v>
      </c>
      <c r="K822" s="3">
        <v>0</v>
      </c>
      <c r="L822" s="3">
        <v>1</v>
      </c>
      <c r="M822" s="3">
        <v>0</v>
      </c>
      <c r="N822" s="3">
        <v>0</v>
      </c>
      <c r="O822" s="3">
        <v>0</v>
      </c>
      <c r="P822" s="18"/>
      <c r="Q822" s="18"/>
      <c r="R822" s="18"/>
      <c r="S822" s="3">
        <v>1</v>
      </c>
      <c r="T822" s="3">
        <v>-1</v>
      </c>
      <c r="U822" s="3">
        <v>-1</v>
      </c>
      <c r="V822" s="3">
        <v>992514.22033333336</v>
      </c>
      <c r="W822" s="22"/>
      <c r="Z822" s="27">
        <f t="shared" si="12"/>
        <v>1.5</v>
      </c>
    </row>
    <row r="823" spans="1:27" ht="23" customHeight="1">
      <c r="A823" s="3" t="s">
        <v>1722</v>
      </c>
      <c r="B823" s="3" t="s">
        <v>1723</v>
      </c>
      <c r="C823" s="3" t="s">
        <v>1724</v>
      </c>
      <c r="D823" s="3" t="s">
        <v>22</v>
      </c>
      <c r="E823" s="3" t="s">
        <v>23</v>
      </c>
      <c r="F823" s="25"/>
      <c r="G823" s="3">
        <v>2</v>
      </c>
      <c r="H823" s="3">
        <v>3</v>
      </c>
      <c r="I823" s="3">
        <v>0</v>
      </c>
      <c r="J823" s="3">
        <v>2</v>
      </c>
      <c r="K823" s="3">
        <v>0</v>
      </c>
      <c r="L823" s="3">
        <v>0</v>
      </c>
      <c r="M823" s="3">
        <v>0</v>
      </c>
      <c r="N823" s="3">
        <v>0</v>
      </c>
      <c r="O823" s="3">
        <v>1</v>
      </c>
      <c r="P823" s="18"/>
      <c r="Q823" s="18"/>
      <c r="R823" s="18"/>
      <c r="S823" s="3">
        <v>1</v>
      </c>
      <c r="T823" s="3">
        <v>0</v>
      </c>
      <c r="U823" s="3">
        <v>-3</v>
      </c>
      <c r="V823" s="3">
        <v>2047201.1324999998</v>
      </c>
      <c r="W823" s="22"/>
      <c r="Z823" s="27">
        <f t="shared" si="12"/>
        <v>1</v>
      </c>
      <c r="AA823" s="19">
        <v>1</v>
      </c>
    </row>
    <row r="824" spans="1:27" ht="23" customHeight="1">
      <c r="A824" s="3" t="s">
        <v>1722</v>
      </c>
      <c r="B824" s="3" t="s">
        <v>1725</v>
      </c>
      <c r="C824" s="3" t="s">
        <v>1726</v>
      </c>
      <c r="D824" s="3" t="s">
        <v>22</v>
      </c>
      <c r="E824" s="3" t="s">
        <v>23</v>
      </c>
      <c r="F824" s="25"/>
      <c r="G824" s="3">
        <v>2</v>
      </c>
      <c r="H824" s="3">
        <v>4</v>
      </c>
      <c r="I824" s="3">
        <v>0</v>
      </c>
      <c r="J824" s="3">
        <v>4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18"/>
      <c r="Q824" s="18"/>
      <c r="R824" s="18"/>
      <c r="S824" s="3">
        <v>3</v>
      </c>
      <c r="T824" s="3">
        <v>0</v>
      </c>
      <c r="U824" s="3">
        <v>-2</v>
      </c>
      <c r="V824" s="3">
        <v>1888292.4747111113</v>
      </c>
      <c r="W824" s="22"/>
      <c r="Z824" s="27">
        <f t="shared" si="12"/>
        <v>2</v>
      </c>
    </row>
    <row r="825" spans="1:27" ht="23" customHeight="1">
      <c r="A825" s="3" t="s">
        <v>1717</v>
      </c>
      <c r="B825" s="3" t="s">
        <v>1727</v>
      </c>
      <c r="C825" s="3" t="s">
        <v>1728</v>
      </c>
      <c r="D825" s="3" t="s">
        <v>22</v>
      </c>
      <c r="E825" s="3" t="s">
        <v>23</v>
      </c>
      <c r="F825" s="25"/>
      <c r="G825" s="3">
        <v>2</v>
      </c>
      <c r="H825" s="3">
        <v>3</v>
      </c>
      <c r="I825" s="3">
        <v>0</v>
      </c>
      <c r="J825" s="3">
        <v>2</v>
      </c>
      <c r="K825" s="3">
        <v>0</v>
      </c>
      <c r="L825" s="3">
        <v>0</v>
      </c>
      <c r="M825" s="3">
        <v>0</v>
      </c>
      <c r="N825" s="3">
        <v>1</v>
      </c>
      <c r="O825" s="3">
        <v>0</v>
      </c>
      <c r="P825" s="18"/>
      <c r="Q825" s="18"/>
      <c r="R825" s="18"/>
      <c r="S825" s="3"/>
      <c r="T825" s="3"/>
      <c r="U825" s="3"/>
      <c r="V825" s="3"/>
      <c r="W825" s="22"/>
      <c r="Z825" s="27">
        <f t="shared" si="12"/>
        <v>1</v>
      </c>
    </row>
    <row r="826" spans="1:27" ht="23" customHeight="1">
      <c r="A826" s="3" t="s">
        <v>1717</v>
      </c>
      <c r="B826" s="3" t="s">
        <v>1729</v>
      </c>
      <c r="C826" s="3" t="s">
        <v>1730</v>
      </c>
      <c r="D826" s="3" t="s">
        <v>22</v>
      </c>
      <c r="E826" s="3" t="s">
        <v>23</v>
      </c>
      <c r="F826" s="25"/>
      <c r="G826" s="3">
        <v>2</v>
      </c>
      <c r="H826" s="3">
        <v>3</v>
      </c>
      <c r="I826" s="3">
        <v>0</v>
      </c>
      <c r="J826" s="3">
        <v>3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18"/>
      <c r="Q826" s="18"/>
      <c r="R826" s="18"/>
      <c r="S826" s="3"/>
      <c r="T826" s="3"/>
      <c r="U826" s="3"/>
      <c r="V826" s="3"/>
      <c r="W826" s="22"/>
      <c r="Z826" s="27">
        <f t="shared" si="12"/>
        <v>1.5</v>
      </c>
    </row>
    <row r="827" spans="1:27" ht="23" customHeight="1">
      <c r="A827" s="3" t="s">
        <v>24</v>
      </c>
      <c r="B827" s="3" t="s">
        <v>1731</v>
      </c>
      <c r="C827" s="3" t="s">
        <v>1732</v>
      </c>
      <c r="D827" s="3" t="s">
        <v>30</v>
      </c>
      <c r="E827" s="3" t="s">
        <v>145</v>
      </c>
      <c r="F827" s="25"/>
      <c r="G827" s="3">
        <v>2</v>
      </c>
      <c r="H827" s="3">
        <v>6</v>
      </c>
      <c r="I827" s="3">
        <v>0</v>
      </c>
      <c r="J827" s="3">
        <v>2</v>
      </c>
      <c r="K827" s="3">
        <v>0</v>
      </c>
      <c r="L827" s="3">
        <v>0</v>
      </c>
      <c r="M827" s="3">
        <v>0</v>
      </c>
      <c r="N827" s="3">
        <v>0</v>
      </c>
      <c r="O827" s="3">
        <v>4</v>
      </c>
      <c r="P827" s="18"/>
      <c r="Q827" s="18"/>
      <c r="R827" s="18"/>
      <c r="S827" s="3"/>
      <c r="T827" s="3">
        <v>0</v>
      </c>
      <c r="U827" s="3">
        <v>-2</v>
      </c>
      <c r="V827" s="3">
        <v>24390.327872361111</v>
      </c>
      <c r="W827" s="22"/>
      <c r="Z827" s="27">
        <f t="shared" si="12"/>
        <v>1</v>
      </c>
    </row>
    <row r="828" spans="1:27" ht="20" customHeight="1">
      <c r="A828" s="3" t="s">
        <v>24</v>
      </c>
      <c r="B828" s="3" t="s">
        <v>1733</v>
      </c>
      <c r="C828" s="3" t="s">
        <v>1732</v>
      </c>
      <c r="D828" s="3" t="s">
        <v>30</v>
      </c>
      <c r="E828" s="3" t="s">
        <v>145</v>
      </c>
      <c r="F828" s="25"/>
      <c r="G828" s="3">
        <v>2</v>
      </c>
      <c r="H828" s="3">
        <v>5</v>
      </c>
      <c r="I828" s="3">
        <v>0</v>
      </c>
      <c r="J828" s="3">
        <v>3</v>
      </c>
      <c r="K828" s="3">
        <v>0</v>
      </c>
      <c r="L828" s="3">
        <v>0</v>
      </c>
      <c r="M828" s="3">
        <v>0</v>
      </c>
      <c r="N828" s="3">
        <v>0</v>
      </c>
      <c r="O828" s="3">
        <v>2</v>
      </c>
      <c r="P828" s="18"/>
      <c r="Q828" s="18"/>
      <c r="R828" s="18"/>
      <c r="S828" s="3"/>
      <c r="T828" s="3">
        <v>0</v>
      </c>
      <c r="U828" s="3">
        <v>-1</v>
      </c>
      <c r="V828" s="3">
        <v>5740.2762000000002</v>
      </c>
      <c r="W828" s="22"/>
      <c r="Z828" s="27">
        <f t="shared" si="12"/>
        <v>1.5</v>
      </c>
    </row>
    <row r="829" spans="1:27" ht="23" customHeight="1">
      <c r="A829" s="3" t="s">
        <v>24</v>
      </c>
      <c r="B829" s="3" t="s">
        <v>1734</v>
      </c>
      <c r="C829" s="3" t="s">
        <v>1735</v>
      </c>
      <c r="D829" s="3" t="s">
        <v>30</v>
      </c>
      <c r="E829" s="3" t="s">
        <v>145</v>
      </c>
      <c r="F829" s="25"/>
      <c r="G829" s="3">
        <v>3</v>
      </c>
      <c r="H829" s="3">
        <v>8</v>
      </c>
      <c r="I829" s="3">
        <v>0</v>
      </c>
      <c r="J829" s="3">
        <v>8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18"/>
      <c r="Q829" s="18"/>
      <c r="R829" s="18"/>
      <c r="S829" s="3"/>
      <c r="T829" s="3">
        <v>0</v>
      </c>
      <c r="U829" s="3">
        <v>-4</v>
      </c>
      <c r="V829" s="3">
        <v>84310.91785435268</v>
      </c>
      <c r="W829" s="22"/>
      <c r="Z829" s="27">
        <f t="shared" si="12"/>
        <v>2.6666666666666665</v>
      </c>
    </row>
    <row r="830" spans="1:27" ht="23" customHeight="1">
      <c r="A830" s="3" t="s">
        <v>1080</v>
      </c>
      <c r="B830" s="3" t="s">
        <v>1736</v>
      </c>
      <c r="C830" s="3" t="s">
        <v>1737</v>
      </c>
      <c r="D830" s="3" t="s">
        <v>22</v>
      </c>
      <c r="E830" s="3" t="s">
        <v>91</v>
      </c>
      <c r="F830" s="25"/>
      <c r="G830" s="3">
        <v>4</v>
      </c>
      <c r="H830" s="3">
        <v>19</v>
      </c>
      <c r="I830" s="3">
        <v>0</v>
      </c>
      <c r="J830" s="3">
        <v>19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18"/>
      <c r="Q830" s="18"/>
      <c r="R830" s="18"/>
      <c r="S830" s="3">
        <v>1</v>
      </c>
      <c r="T830" s="3"/>
      <c r="U830" s="3"/>
      <c r="V830" s="3">
        <v>173269.72126441915</v>
      </c>
      <c r="W830" s="22"/>
      <c r="Z830" s="27">
        <f t="shared" si="12"/>
        <v>4.75</v>
      </c>
    </row>
    <row r="831" spans="1:27" ht="34" customHeight="1">
      <c r="A831" s="3" t="s">
        <v>160</v>
      </c>
      <c r="B831" s="3" t="s">
        <v>1738</v>
      </c>
      <c r="C831" s="3" t="s">
        <v>1739</v>
      </c>
      <c r="D831" s="3" t="s">
        <v>22</v>
      </c>
      <c r="E831" s="3" t="s">
        <v>23</v>
      </c>
      <c r="F831" s="25"/>
      <c r="G831" s="3">
        <v>2</v>
      </c>
      <c r="H831" s="3">
        <v>2</v>
      </c>
      <c r="I831" s="3">
        <v>0</v>
      </c>
      <c r="J831" s="3">
        <v>2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18"/>
      <c r="Q831" s="18"/>
      <c r="R831" s="18"/>
      <c r="S831" s="3"/>
      <c r="T831" s="3"/>
      <c r="U831" s="3"/>
      <c r="V831" s="3">
        <v>58769.880827968744</v>
      </c>
      <c r="W831" s="22"/>
      <c r="Z831" s="27">
        <f t="shared" si="12"/>
        <v>1</v>
      </c>
    </row>
    <row r="832" spans="1:27" ht="23" customHeight="1">
      <c r="A832" s="3" t="s">
        <v>19</v>
      </c>
      <c r="B832" s="3" t="s">
        <v>1740</v>
      </c>
      <c r="C832" s="3" t="s">
        <v>1741</v>
      </c>
      <c r="D832" s="3" t="s">
        <v>22</v>
      </c>
      <c r="E832" s="3" t="s">
        <v>23</v>
      </c>
      <c r="F832" s="25"/>
      <c r="G832" s="3">
        <v>2</v>
      </c>
      <c r="H832" s="3">
        <v>5</v>
      </c>
      <c r="I832" s="3">
        <v>0</v>
      </c>
      <c r="J832" s="3">
        <v>5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18"/>
      <c r="Q832" s="18"/>
      <c r="R832" s="18"/>
      <c r="S832" s="3"/>
      <c r="T832" s="3">
        <v>0</v>
      </c>
      <c r="U832" s="3">
        <v>-1</v>
      </c>
      <c r="V832" s="3">
        <v>122534.94500000001</v>
      </c>
      <c r="W832" s="22"/>
      <c r="Z832" s="27">
        <f t="shared" si="12"/>
        <v>2.5</v>
      </c>
    </row>
    <row r="833" spans="1:27" ht="20" customHeight="1">
      <c r="A833" s="3" t="s">
        <v>1437</v>
      </c>
      <c r="B833" s="3" t="s">
        <v>1742</v>
      </c>
      <c r="C833" s="3" t="s">
        <v>1743</v>
      </c>
      <c r="D833" s="3" t="s">
        <v>22</v>
      </c>
      <c r="E833" s="3" t="s">
        <v>23</v>
      </c>
      <c r="F833" s="25"/>
      <c r="G833" s="3">
        <v>2</v>
      </c>
      <c r="H833" s="3">
        <v>3</v>
      </c>
      <c r="I833" s="3">
        <v>0</v>
      </c>
      <c r="J833" s="3">
        <v>2</v>
      </c>
      <c r="K833" s="3">
        <v>0</v>
      </c>
      <c r="L833" s="3">
        <v>0</v>
      </c>
      <c r="M833" s="3">
        <v>0</v>
      </c>
      <c r="N833" s="3">
        <v>0</v>
      </c>
      <c r="O833" s="3">
        <v>1</v>
      </c>
      <c r="P833" s="18"/>
      <c r="Q833" s="18"/>
      <c r="R833" s="18"/>
      <c r="S833" s="3"/>
      <c r="T833" s="3">
        <v>0</v>
      </c>
      <c r="U833" s="3">
        <v>-1</v>
      </c>
      <c r="V833" s="3"/>
      <c r="W833" s="22"/>
      <c r="Z833" s="27">
        <f t="shared" si="12"/>
        <v>1</v>
      </c>
    </row>
    <row r="834" spans="1:27" ht="20" customHeight="1">
      <c r="A834" s="3" t="s">
        <v>570</v>
      </c>
      <c r="B834" s="3" t="s">
        <v>1744</v>
      </c>
      <c r="C834" s="3" t="s">
        <v>1745</v>
      </c>
      <c r="D834" s="3" t="s">
        <v>30</v>
      </c>
      <c r="E834" s="3" t="s">
        <v>23</v>
      </c>
      <c r="F834" s="25"/>
      <c r="G834" s="3">
        <v>2</v>
      </c>
      <c r="H834" s="3">
        <v>11</v>
      </c>
      <c r="I834" s="3">
        <v>0</v>
      </c>
      <c r="J834" s="3">
        <v>11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18"/>
      <c r="Q834" s="18"/>
      <c r="R834" s="18"/>
      <c r="S834" s="3">
        <v>100</v>
      </c>
      <c r="T834" s="3">
        <v>0</v>
      </c>
      <c r="U834" s="3">
        <v>-220</v>
      </c>
      <c r="V834" s="3"/>
      <c r="W834" s="22"/>
      <c r="Z834" s="27">
        <f t="shared" si="12"/>
        <v>5.5</v>
      </c>
    </row>
    <row r="835" spans="1:27" ht="23" customHeight="1">
      <c r="A835" s="3" t="s">
        <v>1746</v>
      </c>
      <c r="B835" s="3" t="s">
        <v>1747</v>
      </c>
      <c r="C835" s="3" t="s">
        <v>1748</v>
      </c>
      <c r="D835" s="3" t="s">
        <v>22</v>
      </c>
      <c r="E835" s="3" t="s">
        <v>23</v>
      </c>
      <c r="F835" s="25"/>
      <c r="G835" s="3">
        <v>2</v>
      </c>
      <c r="H835" s="3">
        <v>15</v>
      </c>
      <c r="I835" s="3">
        <v>0</v>
      </c>
      <c r="J835" s="3">
        <v>0</v>
      </c>
      <c r="K835" s="3">
        <v>1</v>
      </c>
      <c r="L835" s="3">
        <v>0</v>
      </c>
      <c r="M835" s="3">
        <v>0</v>
      </c>
      <c r="N835" s="3">
        <v>12</v>
      </c>
      <c r="O835" s="3">
        <v>2</v>
      </c>
      <c r="P835" s="18"/>
      <c r="Q835" s="18"/>
      <c r="R835" s="18"/>
      <c r="S835" s="3">
        <v>4</v>
      </c>
      <c r="T835" s="3">
        <v>0</v>
      </c>
      <c r="U835" s="3">
        <v>-4</v>
      </c>
      <c r="V835" s="3">
        <v>178689.6654</v>
      </c>
      <c r="W835" s="22"/>
      <c r="Z835" s="27">
        <f t="shared" si="12"/>
        <v>0</v>
      </c>
      <c r="AA835" s="19">
        <v>1</v>
      </c>
    </row>
    <row r="836" spans="1:27" ht="23" customHeight="1">
      <c r="A836" s="3" t="s">
        <v>1749</v>
      </c>
      <c r="B836" s="3" t="s">
        <v>1750</v>
      </c>
      <c r="C836" s="3" t="s">
        <v>1751</v>
      </c>
      <c r="D836" s="3" t="s">
        <v>22</v>
      </c>
      <c r="E836" s="3" t="s">
        <v>23</v>
      </c>
      <c r="F836" s="25"/>
      <c r="G836" s="3">
        <v>2</v>
      </c>
      <c r="H836" s="3">
        <v>33</v>
      </c>
      <c r="I836" s="3">
        <v>0</v>
      </c>
      <c r="J836" s="3">
        <v>25</v>
      </c>
      <c r="K836" s="3">
        <v>1</v>
      </c>
      <c r="L836" s="3">
        <v>0</v>
      </c>
      <c r="M836" s="3">
        <v>0</v>
      </c>
      <c r="N836" s="3">
        <v>0</v>
      </c>
      <c r="O836" s="3">
        <v>7</v>
      </c>
      <c r="P836" s="18"/>
      <c r="Q836" s="18"/>
      <c r="R836" s="18"/>
      <c r="S836" s="3"/>
      <c r="T836" s="3">
        <v>0</v>
      </c>
      <c r="U836" s="3">
        <v>-8</v>
      </c>
      <c r="V836" s="3"/>
      <c r="W836" s="22"/>
      <c r="Z836" s="27">
        <f t="shared" ref="Z836:Z899" si="13">J836/G836</f>
        <v>12.5</v>
      </c>
    </row>
    <row r="837" spans="1:27" ht="23" customHeight="1">
      <c r="A837" s="3" t="s">
        <v>1746</v>
      </c>
      <c r="B837" s="3" t="s">
        <v>1752</v>
      </c>
      <c r="C837" s="3" t="s">
        <v>1748</v>
      </c>
      <c r="D837" s="3" t="s">
        <v>22</v>
      </c>
      <c r="E837" s="3" t="s">
        <v>23</v>
      </c>
      <c r="F837" s="25"/>
      <c r="G837" s="3">
        <v>2</v>
      </c>
      <c r="H837" s="3">
        <v>45</v>
      </c>
      <c r="I837" s="3">
        <v>0</v>
      </c>
      <c r="J837" s="3">
        <v>18</v>
      </c>
      <c r="K837" s="3">
        <v>0</v>
      </c>
      <c r="L837" s="3">
        <v>0</v>
      </c>
      <c r="M837" s="3">
        <v>0</v>
      </c>
      <c r="N837" s="3">
        <v>0</v>
      </c>
      <c r="O837" s="3">
        <v>27</v>
      </c>
      <c r="P837" s="18"/>
      <c r="Q837" s="18"/>
      <c r="R837" s="18"/>
      <c r="S837" s="3"/>
      <c r="T837" s="3">
        <v>-3</v>
      </c>
      <c r="U837" s="3">
        <v>-66</v>
      </c>
      <c r="V837" s="3">
        <v>305990.62746973865</v>
      </c>
      <c r="W837" s="22"/>
      <c r="Z837" s="27">
        <f t="shared" si="13"/>
        <v>9</v>
      </c>
    </row>
    <row r="838" spans="1:27" ht="23" customHeight="1">
      <c r="A838" s="3" t="s">
        <v>1749</v>
      </c>
      <c r="B838" s="3" t="s">
        <v>1753</v>
      </c>
      <c r="C838" s="3" t="s">
        <v>1751</v>
      </c>
      <c r="D838" s="3" t="s">
        <v>22</v>
      </c>
      <c r="E838" s="3" t="s">
        <v>23</v>
      </c>
      <c r="F838" s="25"/>
      <c r="G838" s="3">
        <v>4</v>
      </c>
      <c r="H838" s="3">
        <v>25</v>
      </c>
      <c r="I838" s="3">
        <v>0</v>
      </c>
      <c r="J838" s="3">
        <v>10</v>
      </c>
      <c r="K838" s="3">
        <v>0</v>
      </c>
      <c r="L838" s="3">
        <v>0</v>
      </c>
      <c r="M838" s="3">
        <v>0</v>
      </c>
      <c r="N838" s="3">
        <v>0</v>
      </c>
      <c r="O838" s="3">
        <v>15</v>
      </c>
      <c r="P838" s="18"/>
      <c r="Q838" s="18"/>
      <c r="R838" s="18"/>
      <c r="S838" s="3"/>
      <c r="T838" s="3">
        <v>-8</v>
      </c>
      <c r="U838" s="3">
        <v>-31</v>
      </c>
      <c r="V838" s="3">
        <v>475622</v>
      </c>
      <c r="W838" s="22"/>
      <c r="Z838" s="27">
        <f t="shared" si="13"/>
        <v>2.5</v>
      </c>
    </row>
    <row r="839" spans="1:27" ht="20" customHeight="1">
      <c r="A839" s="3" t="s">
        <v>555</v>
      </c>
      <c r="B839" s="3" t="s">
        <v>1754</v>
      </c>
      <c r="C839" s="3" t="s">
        <v>1755</v>
      </c>
      <c r="D839" s="3" t="s">
        <v>30</v>
      </c>
      <c r="E839" s="3" t="s">
        <v>23</v>
      </c>
      <c r="F839" s="25"/>
      <c r="G839" s="3">
        <v>2</v>
      </c>
      <c r="H839" s="3">
        <v>3</v>
      </c>
      <c r="I839" s="3">
        <v>0</v>
      </c>
      <c r="J839" s="3">
        <v>3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18"/>
      <c r="Q839" s="18"/>
      <c r="R839" s="18"/>
      <c r="S839" s="3"/>
      <c r="T839" s="3">
        <v>0</v>
      </c>
      <c r="U839" s="3">
        <v>-1</v>
      </c>
      <c r="V839" s="3"/>
      <c r="W839" s="22"/>
      <c r="Z839" s="27">
        <f t="shared" si="13"/>
        <v>1.5</v>
      </c>
    </row>
    <row r="840" spans="1:27" ht="20" customHeight="1">
      <c r="A840" s="3" t="s">
        <v>555</v>
      </c>
      <c r="B840" s="3" t="s">
        <v>1756</v>
      </c>
      <c r="C840" s="3" t="s">
        <v>1755</v>
      </c>
      <c r="D840" s="3" t="s">
        <v>30</v>
      </c>
      <c r="E840" s="3" t="s">
        <v>23</v>
      </c>
      <c r="F840" s="25"/>
      <c r="G840" s="3">
        <v>2</v>
      </c>
      <c r="H840" s="3">
        <v>2</v>
      </c>
      <c r="I840" s="3">
        <v>0</v>
      </c>
      <c r="J840" s="3">
        <v>2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18"/>
      <c r="Q840" s="18"/>
      <c r="R840" s="18"/>
      <c r="S840" s="3"/>
      <c r="T840" s="3"/>
      <c r="U840" s="3"/>
      <c r="V840" s="3"/>
      <c r="W840" s="22"/>
      <c r="Z840" s="27">
        <f t="shared" si="13"/>
        <v>1</v>
      </c>
    </row>
    <row r="841" spans="1:27" ht="34" customHeight="1">
      <c r="A841" s="3" t="s">
        <v>573</v>
      </c>
      <c r="B841" s="3" t="s">
        <v>1757</v>
      </c>
      <c r="C841" s="3" t="s">
        <v>1758</v>
      </c>
      <c r="D841" s="3" t="s">
        <v>22</v>
      </c>
      <c r="E841" s="3" t="s">
        <v>23</v>
      </c>
      <c r="F841" s="25"/>
      <c r="G841" s="3">
        <v>1</v>
      </c>
      <c r="H841" s="3">
        <v>1</v>
      </c>
      <c r="I841" s="3">
        <v>0</v>
      </c>
      <c r="J841" s="3">
        <v>1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18"/>
      <c r="Q841" s="18"/>
      <c r="R841" s="18"/>
      <c r="S841" s="3"/>
      <c r="T841" s="3"/>
      <c r="U841" s="3"/>
      <c r="V841" s="3"/>
      <c r="W841" s="22"/>
      <c r="Z841" s="27">
        <f t="shared" si="13"/>
        <v>1</v>
      </c>
    </row>
    <row r="842" spans="1:27" ht="23" customHeight="1">
      <c r="A842" s="3" t="s">
        <v>555</v>
      </c>
      <c r="B842" s="3" t="s">
        <v>1759</v>
      </c>
      <c r="C842" s="3" t="s">
        <v>1760</v>
      </c>
      <c r="D842" s="3" t="s">
        <v>30</v>
      </c>
      <c r="E842" s="3" t="s">
        <v>23</v>
      </c>
      <c r="F842" s="25"/>
      <c r="G842" s="3">
        <v>2</v>
      </c>
      <c r="H842" s="3">
        <v>3</v>
      </c>
      <c r="I842" s="3">
        <v>0</v>
      </c>
      <c r="J842" s="3">
        <v>3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18"/>
      <c r="Q842" s="18"/>
      <c r="R842" s="18"/>
      <c r="S842" s="3"/>
      <c r="T842" s="3">
        <v>0</v>
      </c>
      <c r="U842" s="3">
        <v>-2</v>
      </c>
      <c r="V842" s="3">
        <v>104873.76583214814</v>
      </c>
      <c r="W842" s="22"/>
      <c r="Z842" s="27">
        <f t="shared" si="13"/>
        <v>1.5</v>
      </c>
    </row>
    <row r="843" spans="1:27" ht="23" customHeight="1">
      <c r="A843" s="3" t="s">
        <v>1761</v>
      </c>
      <c r="B843" s="3" t="s">
        <v>1762</v>
      </c>
      <c r="C843" s="3" t="s">
        <v>1763</v>
      </c>
      <c r="D843" s="3" t="s">
        <v>22</v>
      </c>
      <c r="E843" s="3" t="s">
        <v>23</v>
      </c>
      <c r="F843" s="25"/>
      <c r="G843" s="3">
        <v>1</v>
      </c>
      <c r="H843" s="3">
        <v>1</v>
      </c>
      <c r="I843" s="3">
        <v>0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18"/>
      <c r="Q843" s="18"/>
      <c r="R843" s="18"/>
      <c r="S843" s="3"/>
      <c r="T843" s="3"/>
      <c r="U843" s="3"/>
      <c r="V843" s="3"/>
      <c r="W843" s="22"/>
      <c r="Z843" s="27">
        <f t="shared" si="13"/>
        <v>1</v>
      </c>
    </row>
    <row r="844" spans="1:27" ht="20" customHeight="1">
      <c r="A844" s="3" t="s">
        <v>449</v>
      </c>
      <c r="B844" s="3" t="s">
        <v>1764</v>
      </c>
      <c r="C844" s="3" t="s">
        <v>1765</v>
      </c>
      <c r="D844" s="3" t="s">
        <v>30</v>
      </c>
      <c r="E844" s="3" t="s">
        <v>23</v>
      </c>
      <c r="F844" s="25"/>
      <c r="G844" s="3">
        <v>2</v>
      </c>
      <c r="H844" s="3">
        <v>9</v>
      </c>
      <c r="I844" s="3">
        <v>0</v>
      </c>
      <c r="J844" s="3">
        <v>3</v>
      </c>
      <c r="K844" s="3">
        <v>0</v>
      </c>
      <c r="L844" s="3">
        <v>0</v>
      </c>
      <c r="M844" s="3">
        <v>0</v>
      </c>
      <c r="N844" s="3">
        <v>0</v>
      </c>
      <c r="O844" s="3">
        <v>6</v>
      </c>
      <c r="P844" s="18"/>
      <c r="Q844" s="18"/>
      <c r="R844" s="18"/>
      <c r="S844" s="3"/>
      <c r="T844" s="3">
        <v>0</v>
      </c>
      <c r="U844" s="3">
        <v>-4</v>
      </c>
      <c r="V844" s="3">
        <v>240129.6979</v>
      </c>
      <c r="W844" s="22"/>
      <c r="Z844" s="27">
        <f t="shared" si="13"/>
        <v>1.5</v>
      </c>
    </row>
    <row r="845" spans="1:27" ht="34" customHeight="1">
      <c r="A845" s="3" t="s">
        <v>1749</v>
      </c>
      <c r="B845" s="3" t="s">
        <v>1766</v>
      </c>
      <c r="C845" s="3" t="s">
        <v>1767</v>
      </c>
      <c r="D845" s="3" t="s">
        <v>22</v>
      </c>
      <c r="E845" s="3" t="s">
        <v>23</v>
      </c>
      <c r="F845" s="25"/>
      <c r="G845" s="3">
        <v>2</v>
      </c>
      <c r="H845" s="3">
        <v>4</v>
      </c>
      <c r="I845" s="3">
        <v>0</v>
      </c>
      <c r="J845" s="3">
        <v>4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18"/>
      <c r="Q845" s="18"/>
      <c r="R845" s="18"/>
      <c r="S845" s="3"/>
      <c r="T845" s="3"/>
      <c r="U845" s="3"/>
      <c r="V845" s="3">
        <v>57100.09</v>
      </c>
      <c r="W845" s="22"/>
      <c r="Z845" s="27">
        <f t="shared" si="13"/>
        <v>2</v>
      </c>
    </row>
    <row r="846" spans="1:27" ht="23" customHeight="1">
      <c r="A846" s="3" t="s">
        <v>1503</v>
      </c>
      <c r="B846" s="3" t="s">
        <v>1768</v>
      </c>
      <c r="C846" s="3" t="s">
        <v>1769</v>
      </c>
      <c r="D846" s="3" t="s">
        <v>22</v>
      </c>
      <c r="E846" s="3" t="s">
        <v>23</v>
      </c>
      <c r="F846" s="25"/>
      <c r="G846" s="3">
        <v>2</v>
      </c>
      <c r="H846" s="3">
        <v>18</v>
      </c>
      <c r="I846" s="3">
        <v>0</v>
      </c>
      <c r="J846" s="3">
        <v>16</v>
      </c>
      <c r="K846" s="3">
        <v>1</v>
      </c>
      <c r="L846" s="3">
        <v>0</v>
      </c>
      <c r="M846" s="3">
        <v>0</v>
      </c>
      <c r="N846" s="3">
        <v>1</v>
      </c>
      <c r="O846" s="3">
        <v>0</v>
      </c>
      <c r="P846" s="18"/>
      <c r="Q846" s="18"/>
      <c r="R846" s="18"/>
      <c r="S846" s="3"/>
      <c r="T846" s="3">
        <v>-1</v>
      </c>
      <c r="U846" s="3">
        <v>-7</v>
      </c>
      <c r="V846" s="3">
        <v>754668.07212916669</v>
      </c>
      <c r="W846" s="22"/>
      <c r="Z846" s="27">
        <f t="shared" si="13"/>
        <v>8</v>
      </c>
    </row>
    <row r="847" spans="1:27" ht="34" customHeight="1">
      <c r="A847" s="3" t="s">
        <v>1503</v>
      </c>
      <c r="B847" s="3" t="s">
        <v>1770</v>
      </c>
      <c r="C847" s="3" t="s">
        <v>1771</v>
      </c>
      <c r="D847" s="3" t="s">
        <v>22</v>
      </c>
      <c r="E847" s="3" t="s">
        <v>23</v>
      </c>
      <c r="F847" s="25"/>
      <c r="G847" s="3">
        <v>1</v>
      </c>
      <c r="H847" s="3">
        <v>12</v>
      </c>
      <c r="I847" s="3">
        <v>0</v>
      </c>
      <c r="J847" s="3">
        <v>8</v>
      </c>
      <c r="K847" s="3">
        <v>0</v>
      </c>
      <c r="L847" s="3">
        <v>0</v>
      </c>
      <c r="M847" s="3">
        <v>0</v>
      </c>
      <c r="N847" s="3">
        <v>0</v>
      </c>
      <c r="O847" s="3">
        <v>4</v>
      </c>
      <c r="P847" s="18"/>
      <c r="Q847" s="18"/>
      <c r="R847" s="18"/>
      <c r="S847" s="3"/>
      <c r="T847" s="3">
        <v>-4</v>
      </c>
      <c r="U847" s="3">
        <v>-8</v>
      </c>
      <c r="V847" s="3">
        <v>1419622.7190749999</v>
      </c>
      <c r="W847" s="22"/>
      <c r="Z847" s="27">
        <f t="shared" si="13"/>
        <v>8</v>
      </c>
    </row>
    <row r="848" spans="1:27" ht="23" customHeight="1">
      <c r="A848" s="3" t="s">
        <v>853</v>
      </c>
      <c r="B848" s="3" t="s">
        <v>1772</v>
      </c>
      <c r="C848" s="3" t="s">
        <v>1773</v>
      </c>
      <c r="D848" s="3" t="s">
        <v>22</v>
      </c>
      <c r="E848" s="3" t="s">
        <v>23</v>
      </c>
      <c r="F848" s="25"/>
      <c r="G848" s="3">
        <v>1</v>
      </c>
      <c r="H848" s="3">
        <v>2</v>
      </c>
      <c r="I848" s="3">
        <v>0</v>
      </c>
      <c r="J848" s="3">
        <v>2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18"/>
      <c r="Q848" s="18"/>
      <c r="R848" s="18"/>
      <c r="S848" s="3"/>
      <c r="T848" s="3">
        <v>-1</v>
      </c>
      <c r="U848" s="3">
        <v>-2</v>
      </c>
      <c r="V848" s="3">
        <v>38364.589999999997</v>
      </c>
      <c r="W848" s="22"/>
      <c r="Z848" s="27">
        <f t="shared" si="13"/>
        <v>2</v>
      </c>
    </row>
    <row r="849" spans="1:27" ht="20" customHeight="1">
      <c r="A849" s="3" t="s">
        <v>853</v>
      </c>
      <c r="B849" s="3" t="s">
        <v>1774</v>
      </c>
      <c r="C849" s="3" t="s">
        <v>1775</v>
      </c>
      <c r="D849" s="3" t="s">
        <v>22</v>
      </c>
      <c r="E849" s="3" t="s">
        <v>23</v>
      </c>
      <c r="F849" s="25"/>
      <c r="G849" s="3">
        <v>2</v>
      </c>
      <c r="H849" s="3">
        <v>2</v>
      </c>
      <c r="I849" s="3">
        <v>0</v>
      </c>
      <c r="J849" s="3">
        <v>2</v>
      </c>
      <c r="K849" s="3">
        <v>0</v>
      </c>
      <c r="L849" s="3">
        <v>0</v>
      </c>
      <c r="M849" s="3">
        <v>1</v>
      </c>
      <c r="N849" s="3">
        <v>0</v>
      </c>
      <c r="O849" s="3">
        <v>0</v>
      </c>
      <c r="P849" s="18"/>
      <c r="Q849" s="18"/>
      <c r="R849" s="18"/>
      <c r="S849" s="3"/>
      <c r="T849" s="3">
        <v>0</v>
      </c>
      <c r="U849" s="3">
        <v>-1</v>
      </c>
      <c r="V849" s="3"/>
      <c r="W849" s="22"/>
      <c r="Z849" s="27">
        <f t="shared" si="13"/>
        <v>1</v>
      </c>
    </row>
    <row r="850" spans="1:27" ht="20" customHeight="1">
      <c r="A850" s="3" t="s">
        <v>853</v>
      </c>
      <c r="B850" s="3" t="s">
        <v>1776</v>
      </c>
      <c r="C850" s="3" t="s">
        <v>1777</v>
      </c>
      <c r="D850" s="3" t="s">
        <v>22</v>
      </c>
      <c r="E850" s="3" t="s">
        <v>23</v>
      </c>
      <c r="F850" s="25"/>
      <c r="G850" s="3">
        <v>1</v>
      </c>
      <c r="H850" s="3">
        <v>2</v>
      </c>
      <c r="I850" s="3">
        <v>0</v>
      </c>
      <c r="J850" s="3">
        <v>2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18"/>
      <c r="Q850" s="18"/>
      <c r="R850" s="18"/>
      <c r="S850" s="3"/>
      <c r="T850" s="3">
        <v>0</v>
      </c>
      <c r="U850" s="3">
        <v>-1</v>
      </c>
      <c r="V850" s="3">
        <v>609090.22</v>
      </c>
      <c r="W850" s="22"/>
      <c r="Z850" s="27">
        <f t="shared" si="13"/>
        <v>2</v>
      </c>
    </row>
    <row r="851" spans="1:27" ht="34" customHeight="1">
      <c r="A851" s="3" t="s">
        <v>1572</v>
      </c>
      <c r="B851" s="3" t="s">
        <v>1778</v>
      </c>
      <c r="C851" s="3" t="s">
        <v>1779</v>
      </c>
      <c r="D851" s="3" t="s">
        <v>22</v>
      </c>
      <c r="E851" s="3" t="s">
        <v>23</v>
      </c>
      <c r="F851" s="25"/>
      <c r="G851" s="3">
        <v>2</v>
      </c>
      <c r="H851" s="3">
        <v>8</v>
      </c>
      <c r="I851" s="3">
        <v>0</v>
      </c>
      <c r="J851" s="3">
        <v>1</v>
      </c>
      <c r="K851" s="3">
        <v>1</v>
      </c>
      <c r="L851" s="3">
        <v>0</v>
      </c>
      <c r="M851" s="3">
        <v>0</v>
      </c>
      <c r="N851" s="3">
        <v>0</v>
      </c>
      <c r="O851" s="3">
        <v>6</v>
      </c>
      <c r="P851" s="18"/>
      <c r="Q851" s="18"/>
      <c r="R851" s="18"/>
      <c r="S851" s="3">
        <v>4</v>
      </c>
      <c r="T851" s="3">
        <v>-1</v>
      </c>
      <c r="U851" s="3">
        <v>-6</v>
      </c>
      <c r="V851" s="3">
        <v>1256949.7975189833</v>
      </c>
      <c r="W851" s="22"/>
      <c r="Z851" s="27">
        <f t="shared" si="13"/>
        <v>0.5</v>
      </c>
      <c r="AA851" s="19">
        <v>1</v>
      </c>
    </row>
    <row r="852" spans="1:27" ht="20" customHeight="1">
      <c r="A852" s="3" t="s">
        <v>24</v>
      </c>
      <c r="B852" s="3" t="s">
        <v>1780</v>
      </c>
      <c r="C852" s="3" t="s">
        <v>1781</v>
      </c>
      <c r="D852" s="3" t="s">
        <v>22</v>
      </c>
      <c r="E852" s="3" t="s">
        <v>23</v>
      </c>
      <c r="F852" s="25"/>
      <c r="G852" s="3">
        <v>1</v>
      </c>
      <c r="H852" s="3">
        <v>3</v>
      </c>
      <c r="I852" s="3">
        <v>0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>
        <v>2</v>
      </c>
      <c r="P852" s="18"/>
      <c r="Q852" s="18"/>
      <c r="R852" s="18"/>
      <c r="S852" s="3"/>
      <c r="T852" s="3">
        <v>0</v>
      </c>
      <c r="U852" s="3">
        <v>-2</v>
      </c>
      <c r="V852" s="3">
        <v>306461.625</v>
      </c>
      <c r="W852" s="22"/>
      <c r="Z852" s="27">
        <f t="shared" si="13"/>
        <v>1</v>
      </c>
    </row>
    <row r="853" spans="1:27" ht="23" customHeight="1">
      <c r="A853" s="3" t="s">
        <v>24</v>
      </c>
      <c r="B853" s="3" t="s">
        <v>1782</v>
      </c>
      <c r="C853" s="3" t="s">
        <v>1275</v>
      </c>
      <c r="D853" s="3" t="s">
        <v>22</v>
      </c>
      <c r="E853" s="3" t="s">
        <v>23</v>
      </c>
      <c r="F853" s="25"/>
      <c r="G853" s="3">
        <v>1</v>
      </c>
      <c r="H853" s="3">
        <v>1</v>
      </c>
      <c r="I853" s="3">
        <v>0</v>
      </c>
      <c r="J853" s="3">
        <v>1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18"/>
      <c r="Q853" s="18"/>
      <c r="R853" s="18"/>
      <c r="S853" s="3"/>
      <c r="T853" s="3">
        <v>0</v>
      </c>
      <c r="U853" s="3">
        <v>-1</v>
      </c>
      <c r="V853" s="3"/>
      <c r="W853" s="22"/>
      <c r="Z853" s="27">
        <f t="shared" si="13"/>
        <v>1</v>
      </c>
    </row>
    <row r="854" spans="1:27" ht="34" customHeight="1">
      <c r="A854" s="3" t="s">
        <v>24</v>
      </c>
      <c r="B854" s="3" t="s">
        <v>1783</v>
      </c>
      <c r="C854" s="3" t="s">
        <v>1784</v>
      </c>
      <c r="D854" s="3" t="s">
        <v>22</v>
      </c>
      <c r="E854" s="3" t="s">
        <v>23</v>
      </c>
      <c r="F854" s="25"/>
      <c r="G854" s="3">
        <v>1</v>
      </c>
      <c r="H854" s="3">
        <v>1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1</v>
      </c>
      <c r="P854" s="18"/>
      <c r="Q854" s="18"/>
      <c r="R854" s="18"/>
      <c r="S854" s="3"/>
      <c r="T854" s="3">
        <v>-1</v>
      </c>
      <c r="U854" s="3">
        <v>-1</v>
      </c>
      <c r="V854" s="3">
        <v>455192.37427799997</v>
      </c>
      <c r="W854" s="22"/>
      <c r="Z854" s="27">
        <f t="shared" si="13"/>
        <v>0</v>
      </c>
    </row>
    <row r="855" spans="1:27" ht="23" customHeight="1">
      <c r="A855" s="3" t="s">
        <v>197</v>
      </c>
      <c r="B855" s="3" t="s">
        <v>1785</v>
      </c>
      <c r="C855" s="3" t="s">
        <v>1786</v>
      </c>
      <c r="D855" s="3" t="s">
        <v>22</v>
      </c>
      <c r="E855" s="3" t="s">
        <v>23</v>
      </c>
      <c r="F855" s="25"/>
      <c r="G855" s="3">
        <v>1</v>
      </c>
      <c r="H855" s="3">
        <v>2</v>
      </c>
      <c r="I855" s="3">
        <v>0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18"/>
      <c r="Q855" s="18"/>
      <c r="R855" s="18"/>
      <c r="S855" s="3"/>
      <c r="T855" s="3"/>
      <c r="U855" s="3"/>
      <c r="V855" s="3"/>
      <c r="W855" s="22"/>
      <c r="Z855" s="27">
        <f t="shared" si="13"/>
        <v>2</v>
      </c>
    </row>
    <row r="856" spans="1:27" ht="23" customHeight="1">
      <c r="A856" s="3" t="s">
        <v>197</v>
      </c>
      <c r="B856" s="3" t="s">
        <v>1787</v>
      </c>
      <c r="C856" s="3" t="s">
        <v>1788</v>
      </c>
      <c r="D856" s="3" t="s">
        <v>22</v>
      </c>
      <c r="E856" s="3" t="s">
        <v>23</v>
      </c>
      <c r="F856" s="25"/>
      <c r="G856" s="3">
        <v>2</v>
      </c>
      <c r="H856" s="3">
        <v>5</v>
      </c>
      <c r="I856" s="3">
        <v>0</v>
      </c>
      <c r="J856" s="3">
        <v>3</v>
      </c>
      <c r="K856" s="3">
        <v>0</v>
      </c>
      <c r="L856" s="3">
        <v>0</v>
      </c>
      <c r="M856" s="3">
        <v>0</v>
      </c>
      <c r="N856" s="3">
        <v>1</v>
      </c>
      <c r="O856" s="3">
        <v>1</v>
      </c>
      <c r="P856" s="18"/>
      <c r="Q856" s="18"/>
      <c r="R856" s="18"/>
      <c r="S856" s="3">
        <v>1</v>
      </c>
      <c r="T856" s="3">
        <v>0</v>
      </c>
      <c r="U856" s="3">
        <v>-2</v>
      </c>
      <c r="V856" s="3"/>
      <c r="W856" s="22"/>
      <c r="Z856" s="27">
        <f t="shared" si="13"/>
        <v>1.5</v>
      </c>
    </row>
    <row r="857" spans="1:27" ht="23" customHeight="1">
      <c r="A857" s="3" t="s">
        <v>791</v>
      </c>
      <c r="B857" s="3" t="s">
        <v>1789</v>
      </c>
      <c r="C857" s="3" t="s">
        <v>1790</v>
      </c>
      <c r="D857" s="3" t="s">
        <v>22</v>
      </c>
      <c r="E857" s="3" t="s">
        <v>23</v>
      </c>
      <c r="F857" s="25"/>
      <c r="G857" s="3">
        <v>2</v>
      </c>
      <c r="H857" s="3">
        <v>6</v>
      </c>
      <c r="I857" s="3">
        <v>0</v>
      </c>
      <c r="J857" s="3">
        <v>4</v>
      </c>
      <c r="K857" s="3">
        <v>0</v>
      </c>
      <c r="L857" s="3">
        <v>0</v>
      </c>
      <c r="M857" s="3">
        <v>0</v>
      </c>
      <c r="N857" s="3">
        <v>0</v>
      </c>
      <c r="O857" s="3">
        <v>2</v>
      </c>
      <c r="P857" s="18"/>
      <c r="Q857" s="18"/>
      <c r="R857" s="18"/>
      <c r="S857" s="3"/>
      <c r="T857" s="3">
        <v>-2</v>
      </c>
      <c r="U857" s="3">
        <v>-2</v>
      </c>
      <c r="V857" s="3">
        <v>225000</v>
      </c>
      <c r="W857" s="22"/>
      <c r="Z857" s="27">
        <f t="shared" si="13"/>
        <v>2</v>
      </c>
    </row>
    <row r="858" spans="1:27" ht="23" customHeight="1">
      <c r="A858" s="3" t="s">
        <v>573</v>
      </c>
      <c r="B858" s="3" t="s">
        <v>1791</v>
      </c>
      <c r="C858" s="3" t="s">
        <v>1792</v>
      </c>
      <c r="D858" s="3" t="s">
        <v>22</v>
      </c>
      <c r="E858" s="3" t="s">
        <v>23</v>
      </c>
      <c r="F858" s="25"/>
      <c r="G858" s="3">
        <v>2</v>
      </c>
      <c r="H858" s="3">
        <v>4</v>
      </c>
      <c r="I858" s="3">
        <v>0</v>
      </c>
      <c r="J858" s="3">
        <v>4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18"/>
      <c r="Q858" s="18"/>
      <c r="R858" s="18"/>
      <c r="S858" s="3"/>
      <c r="T858" s="3">
        <v>0</v>
      </c>
      <c r="U858" s="3">
        <v>-2</v>
      </c>
      <c r="V858" s="3">
        <v>322398.43444444443</v>
      </c>
      <c r="W858" s="22"/>
      <c r="Z858" s="27">
        <f t="shared" si="13"/>
        <v>2</v>
      </c>
    </row>
    <row r="859" spans="1:27" ht="23" customHeight="1">
      <c r="A859" s="3" t="s">
        <v>230</v>
      </c>
      <c r="B859" s="3" t="s">
        <v>1793</v>
      </c>
      <c r="C859" s="3" t="s">
        <v>1794</v>
      </c>
      <c r="D859" s="3" t="s">
        <v>22</v>
      </c>
      <c r="E859" s="3" t="s">
        <v>23</v>
      </c>
      <c r="F859" s="25"/>
      <c r="G859" s="3">
        <v>1</v>
      </c>
      <c r="H859" s="3">
        <v>7</v>
      </c>
      <c r="I859" s="3">
        <v>0</v>
      </c>
      <c r="J859" s="3">
        <v>7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18"/>
      <c r="Q859" s="18"/>
      <c r="R859" s="18"/>
      <c r="S859" s="3"/>
      <c r="T859" s="3">
        <v>0</v>
      </c>
      <c r="U859" s="3">
        <v>-7</v>
      </c>
      <c r="V859" s="3">
        <v>5846377.5520000001</v>
      </c>
      <c r="W859" s="22"/>
      <c r="Z859" s="27">
        <f t="shared" si="13"/>
        <v>7</v>
      </c>
    </row>
    <row r="860" spans="1:27" ht="23" customHeight="1">
      <c r="A860" s="3" t="s">
        <v>1593</v>
      </c>
      <c r="B860" s="3" t="s">
        <v>1795</v>
      </c>
      <c r="C860" s="3" t="s">
        <v>1796</v>
      </c>
      <c r="D860" s="3" t="s">
        <v>22</v>
      </c>
      <c r="E860" s="3" t="s">
        <v>91</v>
      </c>
      <c r="F860" s="25"/>
      <c r="G860" s="3">
        <v>2</v>
      </c>
      <c r="H860" s="3">
        <v>19</v>
      </c>
      <c r="I860" s="3">
        <v>0</v>
      </c>
      <c r="J860" s="3">
        <v>1</v>
      </c>
      <c r="K860" s="3">
        <v>0</v>
      </c>
      <c r="L860" s="3">
        <v>0</v>
      </c>
      <c r="M860" s="3">
        <v>2</v>
      </c>
      <c r="N860" s="3">
        <v>18</v>
      </c>
      <c r="O860" s="3">
        <v>0</v>
      </c>
      <c r="P860" s="18"/>
      <c r="Q860" s="18"/>
      <c r="R860" s="18"/>
      <c r="S860" s="3"/>
      <c r="T860" s="3">
        <v>0</v>
      </c>
      <c r="U860" s="3">
        <v>-3</v>
      </c>
      <c r="V860" s="3">
        <v>895039.0584834452</v>
      </c>
      <c r="W860" s="22"/>
      <c r="Z860" s="27">
        <f t="shared" si="13"/>
        <v>0.5</v>
      </c>
    </row>
    <row r="861" spans="1:27" ht="20" customHeight="1">
      <c r="A861" s="3" t="s">
        <v>437</v>
      </c>
      <c r="B861" s="3" t="s">
        <v>1797</v>
      </c>
      <c r="C861" s="3" t="s">
        <v>1798</v>
      </c>
      <c r="D861" s="3" t="s">
        <v>30</v>
      </c>
      <c r="E861" s="3" t="s">
        <v>23</v>
      </c>
      <c r="F861" s="25"/>
      <c r="G861" s="3">
        <v>4</v>
      </c>
      <c r="H861" s="3">
        <v>1</v>
      </c>
      <c r="I861" s="3">
        <v>3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1</v>
      </c>
      <c r="P861" s="18"/>
      <c r="Q861" s="18"/>
      <c r="R861" s="18"/>
      <c r="S861" s="3"/>
      <c r="T861" s="3">
        <v>0</v>
      </c>
      <c r="U861" s="3">
        <v>-5</v>
      </c>
      <c r="V861" s="3"/>
      <c r="W861" s="22"/>
      <c r="Z861" s="27">
        <f t="shared" si="13"/>
        <v>0</v>
      </c>
    </row>
    <row r="862" spans="1:27" ht="20" customHeight="1">
      <c r="A862" s="3" t="s">
        <v>1206</v>
      </c>
      <c r="B862" s="3" t="s">
        <v>1799</v>
      </c>
      <c r="C862" s="3" t="s">
        <v>1800</v>
      </c>
      <c r="D862" s="3" t="s">
        <v>22</v>
      </c>
      <c r="E862" s="3" t="s">
        <v>23</v>
      </c>
      <c r="F862" s="25"/>
      <c r="G862" s="3">
        <v>6</v>
      </c>
      <c r="H862" s="3">
        <v>11</v>
      </c>
      <c r="I862" s="3">
        <v>0</v>
      </c>
      <c r="J862" s="3">
        <v>3</v>
      </c>
      <c r="K862" s="3">
        <v>0</v>
      </c>
      <c r="L862" s="3">
        <v>0</v>
      </c>
      <c r="M862" s="3">
        <v>0</v>
      </c>
      <c r="N862" s="3">
        <v>0</v>
      </c>
      <c r="O862" s="3">
        <v>8</v>
      </c>
      <c r="P862" s="18"/>
      <c r="Q862" s="18"/>
      <c r="R862" s="18"/>
      <c r="S862" s="3"/>
      <c r="T862" s="3">
        <v>-3</v>
      </c>
      <c r="U862" s="3">
        <v>-15</v>
      </c>
      <c r="V862" s="3">
        <v>137351.14000000001</v>
      </c>
      <c r="W862" s="22"/>
      <c r="Z862" s="27">
        <f t="shared" si="13"/>
        <v>0.5</v>
      </c>
    </row>
    <row r="863" spans="1:27" ht="20" customHeight="1">
      <c r="A863" s="3" t="s">
        <v>1206</v>
      </c>
      <c r="B863" s="3" t="s">
        <v>1801</v>
      </c>
      <c r="C863" s="3" t="s">
        <v>1802</v>
      </c>
      <c r="D863" s="3" t="s">
        <v>22</v>
      </c>
      <c r="E863" s="3" t="s">
        <v>23</v>
      </c>
      <c r="F863" s="25"/>
      <c r="G863" s="3">
        <v>2</v>
      </c>
      <c r="H863" s="3">
        <v>3</v>
      </c>
      <c r="I863" s="3">
        <v>0</v>
      </c>
      <c r="J863" s="3">
        <v>3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18"/>
      <c r="Q863" s="18"/>
      <c r="R863" s="18"/>
      <c r="S863" s="3"/>
      <c r="T863" s="3">
        <v>0</v>
      </c>
      <c r="U863" s="3">
        <v>-1</v>
      </c>
      <c r="V863" s="3">
        <v>34516.199999999997</v>
      </c>
      <c r="W863" s="22"/>
      <c r="Z863" s="27">
        <f t="shared" si="13"/>
        <v>1.5</v>
      </c>
    </row>
    <row r="864" spans="1:27" ht="20" customHeight="1">
      <c r="A864" s="3" t="s">
        <v>1688</v>
      </c>
      <c r="B864" s="3" t="s">
        <v>1803</v>
      </c>
      <c r="C864" s="3" t="s">
        <v>1804</v>
      </c>
      <c r="D864" s="3" t="s">
        <v>22</v>
      </c>
      <c r="E864" s="3" t="s">
        <v>23</v>
      </c>
      <c r="F864" s="25"/>
      <c r="G864" s="3">
        <v>2</v>
      </c>
      <c r="H864" s="3">
        <v>4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4</v>
      </c>
      <c r="P864" s="18"/>
      <c r="Q864" s="18"/>
      <c r="R864" s="18"/>
      <c r="S864" s="3">
        <v>1</v>
      </c>
      <c r="T864" s="3">
        <v>-1</v>
      </c>
      <c r="U864" s="3">
        <v>-8</v>
      </c>
      <c r="V864" s="3"/>
      <c r="W864" s="22"/>
      <c r="Z864" s="27">
        <f t="shared" si="13"/>
        <v>0</v>
      </c>
      <c r="AA864" s="19">
        <v>1</v>
      </c>
    </row>
    <row r="865" spans="1:27" ht="20" customHeight="1">
      <c r="A865" s="3" t="s">
        <v>1688</v>
      </c>
      <c r="B865" s="3" t="s">
        <v>1805</v>
      </c>
      <c r="C865" s="3" t="s">
        <v>1804</v>
      </c>
      <c r="D865" s="3" t="s">
        <v>22</v>
      </c>
      <c r="E865" s="3" t="s">
        <v>23</v>
      </c>
      <c r="F865" s="25"/>
      <c r="G865" s="3">
        <v>1</v>
      </c>
      <c r="H865" s="3">
        <v>3</v>
      </c>
      <c r="I865" s="3">
        <v>0</v>
      </c>
      <c r="J865" s="3">
        <v>1</v>
      </c>
      <c r="K865" s="3">
        <v>0</v>
      </c>
      <c r="L865" s="3">
        <v>0</v>
      </c>
      <c r="M865" s="3">
        <v>0</v>
      </c>
      <c r="N865" s="3">
        <v>0</v>
      </c>
      <c r="O865" s="3">
        <v>2</v>
      </c>
      <c r="P865" s="18"/>
      <c r="Q865" s="18"/>
      <c r="R865" s="18"/>
      <c r="S865" s="3">
        <v>1</v>
      </c>
      <c r="T865" s="3">
        <v>0</v>
      </c>
      <c r="U865" s="3">
        <v>-10</v>
      </c>
      <c r="V865" s="3"/>
      <c r="W865" s="22"/>
      <c r="Z865" s="27">
        <f t="shared" si="13"/>
        <v>1</v>
      </c>
      <c r="AA865" s="19">
        <v>1</v>
      </c>
    </row>
    <row r="866" spans="1:27" ht="20" customHeight="1">
      <c r="A866" s="3" t="s">
        <v>1688</v>
      </c>
      <c r="B866" s="3" t="s">
        <v>1806</v>
      </c>
      <c r="C866" s="3" t="s">
        <v>1807</v>
      </c>
      <c r="D866" s="3" t="s">
        <v>22</v>
      </c>
      <c r="E866" s="3" t="s">
        <v>23</v>
      </c>
      <c r="F866" s="25"/>
      <c r="G866" s="3">
        <v>2</v>
      </c>
      <c r="H866" s="3">
        <v>3</v>
      </c>
      <c r="I866" s="3">
        <v>0</v>
      </c>
      <c r="J866" s="3">
        <v>1</v>
      </c>
      <c r="K866" s="3">
        <v>0</v>
      </c>
      <c r="L866" s="3">
        <v>0</v>
      </c>
      <c r="M866" s="3">
        <v>0</v>
      </c>
      <c r="N866" s="3">
        <v>0</v>
      </c>
      <c r="O866" s="3">
        <v>2</v>
      </c>
      <c r="P866" s="18"/>
      <c r="Q866" s="18"/>
      <c r="R866" s="18"/>
      <c r="S866" s="3"/>
      <c r="T866" s="3">
        <v>-1</v>
      </c>
      <c r="U866" s="3">
        <v>-10</v>
      </c>
      <c r="V866" s="3"/>
      <c r="W866" s="22"/>
      <c r="Z866" s="27">
        <f t="shared" si="13"/>
        <v>0.5</v>
      </c>
    </row>
    <row r="867" spans="1:27" ht="20" customHeight="1">
      <c r="A867" s="3" t="s">
        <v>1688</v>
      </c>
      <c r="B867" s="3" t="s">
        <v>1808</v>
      </c>
      <c r="C867" s="3" t="s">
        <v>1807</v>
      </c>
      <c r="D867" s="3" t="s">
        <v>22</v>
      </c>
      <c r="E867" s="3" t="s">
        <v>23</v>
      </c>
      <c r="F867" s="25"/>
      <c r="G867" s="3">
        <v>1</v>
      </c>
      <c r="H867" s="3">
        <v>2</v>
      </c>
      <c r="I867" s="3">
        <v>0</v>
      </c>
      <c r="J867" s="3">
        <v>1</v>
      </c>
      <c r="K867" s="3">
        <v>0</v>
      </c>
      <c r="L867" s="3">
        <v>0</v>
      </c>
      <c r="M867" s="3">
        <v>0</v>
      </c>
      <c r="N867" s="3">
        <v>0</v>
      </c>
      <c r="O867" s="3">
        <v>1</v>
      </c>
      <c r="P867" s="18"/>
      <c r="Q867" s="18"/>
      <c r="R867" s="18"/>
      <c r="S867" s="3"/>
      <c r="T867" s="3">
        <v>0</v>
      </c>
      <c r="U867" s="3">
        <v>-7</v>
      </c>
      <c r="V867" s="3"/>
      <c r="W867" s="22"/>
      <c r="Z867" s="27">
        <f t="shared" si="13"/>
        <v>1</v>
      </c>
    </row>
    <row r="868" spans="1:27" ht="20" customHeight="1">
      <c r="A868" s="3" t="s">
        <v>1688</v>
      </c>
      <c r="B868" s="3" t="s">
        <v>1809</v>
      </c>
      <c r="C868" s="3" t="s">
        <v>1810</v>
      </c>
      <c r="D868" s="3" t="s">
        <v>30</v>
      </c>
      <c r="E868" s="3" t="s">
        <v>23</v>
      </c>
      <c r="F868" s="25"/>
      <c r="G868" s="3">
        <v>1</v>
      </c>
      <c r="H868" s="3">
        <v>4</v>
      </c>
      <c r="I868" s="3">
        <v>0</v>
      </c>
      <c r="J868" s="3">
        <v>2</v>
      </c>
      <c r="K868" s="3">
        <v>0</v>
      </c>
      <c r="L868" s="3">
        <v>0</v>
      </c>
      <c r="M868" s="3">
        <v>0</v>
      </c>
      <c r="N868" s="3">
        <v>0</v>
      </c>
      <c r="O868" s="3">
        <v>2</v>
      </c>
      <c r="P868" s="18"/>
      <c r="Q868" s="18"/>
      <c r="R868" s="18"/>
      <c r="S868" s="3"/>
      <c r="T868" s="3">
        <v>0</v>
      </c>
      <c r="U868" s="3">
        <v>-2</v>
      </c>
      <c r="V868" s="3"/>
      <c r="W868" s="22"/>
      <c r="Z868" s="27">
        <f t="shared" si="13"/>
        <v>2</v>
      </c>
    </row>
    <row r="869" spans="1:27" ht="23" customHeight="1">
      <c r="A869" s="3" t="s">
        <v>1688</v>
      </c>
      <c r="B869" s="3" t="s">
        <v>1811</v>
      </c>
      <c r="C869" s="3" t="s">
        <v>1812</v>
      </c>
      <c r="D869" s="3" t="s">
        <v>30</v>
      </c>
      <c r="E869" s="3" t="s">
        <v>23</v>
      </c>
      <c r="F869" s="25"/>
      <c r="G869" s="3">
        <v>1</v>
      </c>
      <c r="H869" s="3">
        <v>7</v>
      </c>
      <c r="I869" s="3">
        <v>0</v>
      </c>
      <c r="J869" s="3">
        <v>6</v>
      </c>
      <c r="K869" s="3">
        <v>0</v>
      </c>
      <c r="L869" s="3">
        <v>0</v>
      </c>
      <c r="M869" s="3">
        <v>0</v>
      </c>
      <c r="N869" s="3">
        <v>0</v>
      </c>
      <c r="O869" s="3">
        <v>1</v>
      </c>
      <c r="P869" s="18"/>
      <c r="Q869" s="18"/>
      <c r="R869" s="18"/>
      <c r="S869" s="3"/>
      <c r="T869" s="3">
        <v>0</v>
      </c>
      <c r="U869" s="3">
        <v>-1</v>
      </c>
      <c r="V869" s="3">
        <v>323412.16708333336</v>
      </c>
      <c r="W869" s="22"/>
      <c r="Z869" s="27">
        <f t="shared" si="13"/>
        <v>6</v>
      </c>
    </row>
    <row r="870" spans="1:27" ht="20" customHeight="1">
      <c r="A870" s="3" t="s">
        <v>102</v>
      </c>
      <c r="B870" s="3" t="s">
        <v>1813</v>
      </c>
      <c r="C870" s="3" t="s">
        <v>1814</v>
      </c>
      <c r="D870" s="3" t="s">
        <v>22</v>
      </c>
      <c r="E870" s="3" t="s">
        <v>23</v>
      </c>
      <c r="F870" s="25"/>
      <c r="G870" s="3">
        <v>1</v>
      </c>
      <c r="H870" s="3">
        <v>3</v>
      </c>
      <c r="I870" s="3">
        <v>0</v>
      </c>
      <c r="J870" s="3">
        <v>3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18"/>
      <c r="Q870" s="18"/>
      <c r="R870" s="18"/>
      <c r="S870" s="3"/>
      <c r="T870" s="3">
        <v>0</v>
      </c>
      <c r="U870" s="3">
        <v>-1</v>
      </c>
      <c r="V870" s="3"/>
      <c r="W870" s="22"/>
      <c r="Z870" s="27">
        <f t="shared" si="13"/>
        <v>3</v>
      </c>
    </row>
    <row r="871" spans="1:27" ht="23" customHeight="1">
      <c r="A871" s="3" t="s">
        <v>115</v>
      </c>
      <c r="B871" s="3" t="s">
        <v>1815</v>
      </c>
      <c r="C871" s="3" t="s">
        <v>1816</v>
      </c>
      <c r="D871" s="3" t="s">
        <v>22</v>
      </c>
      <c r="E871" s="3" t="s">
        <v>23</v>
      </c>
      <c r="F871" s="25"/>
      <c r="G871" s="3">
        <v>1</v>
      </c>
      <c r="H871" s="3">
        <v>5</v>
      </c>
      <c r="I871" s="3">
        <v>0</v>
      </c>
      <c r="J871" s="3">
        <v>2</v>
      </c>
      <c r="K871" s="3">
        <v>0</v>
      </c>
      <c r="L871" s="3">
        <v>0</v>
      </c>
      <c r="M871" s="3">
        <v>0</v>
      </c>
      <c r="N871" s="3">
        <v>3</v>
      </c>
      <c r="O871" s="3">
        <v>0</v>
      </c>
      <c r="P871" s="18"/>
      <c r="Q871" s="18"/>
      <c r="R871" s="18"/>
      <c r="S871" s="3"/>
      <c r="T871" s="3">
        <v>-3</v>
      </c>
      <c r="U871" s="3">
        <v>-4</v>
      </c>
      <c r="V871" s="3"/>
      <c r="W871" s="22"/>
      <c r="Z871" s="27">
        <f t="shared" si="13"/>
        <v>2</v>
      </c>
    </row>
    <row r="872" spans="1:27" ht="23" customHeight="1">
      <c r="A872" s="3" t="s">
        <v>115</v>
      </c>
      <c r="B872" s="3" t="s">
        <v>1817</v>
      </c>
      <c r="C872" s="3" t="s">
        <v>1818</v>
      </c>
      <c r="D872" s="3" t="s">
        <v>22</v>
      </c>
      <c r="E872" s="3" t="s">
        <v>23</v>
      </c>
      <c r="F872" s="25"/>
      <c r="G872" s="3">
        <v>1</v>
      </c>
      <c r="H872" s="3">
        <v>1</v>
      </c>
      <c r="I872" s="3">
        <v>0</v>
      </c>
      <c r="J872" s="3">
        <v>1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18"/>
      <c r="Q872" s="18"/>
      <c r="R872" s="18"/>
      <c r="S872" s="3"/>
      <c r="T872" s="3">
        <v>-1</v>
      </c>
      <c r="U872" s="3">
        <v>-1</v>
      </c>
      <c r="V872" s="3"/>
      <c r="W872" s="22"/>
      <c r="Z872" s="27">
        <f t="shared" si="13"/>
        <v>1</v>
      </c>
    </row>
    <row r="873" spans="1:27" ht="20" customHeight="1">
      <c r="A873" s="3" t="s">
        <v>1164</v>
      </c>
      <c r="B873" s="3" t="s">
        <v>1819</v>
      </c>
      <c r="C873" s="3" t="s">
        <v>1820</v>
      </c>
      <c r="D873" s="3" t="s">
        <v>22</v>
      </c>
      <c r="E873" s="3" t="s">
        <v>23</v>
      </c>
      <c r="F873" s="25"/>
      <c r="G873" s="3">
        <v>1</v>
      </c>
      <c r="H873" s="3">
        <v>1</v>
      </c>
      <c r="I873" s="3">
        <v>0</v>
      </c>
      <c r="J873" s="3">
        <v>1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18"/>
      <c r="Q873" s="18"/>
      <c r="R873" s="18"/>
      <c r="S873" s="3"/>
      <c r="T873" s="3"/>
      <c r="U873" s="3"/>
      <c r="V873" s="3"/>
      <c r="W873" s="22"/>
      <c r="Z873" s="27">
        <f t="shared" si="13"/>
        <v>1</v>
      </c>
    </row>
    <row r="874" spans="1:27" ht="23" customHeight="1">
      <c r="A874" s="3" t="s">
        <v>555</v>
      </c>
      <c r="B874" s="3" t="s">
        <v>1821</v>
      </c>
      <c r="C874" s="3" t="s">
        <v>1822</v>
      </c>
      <c r="D874" s="3" t="s">
        <v>22</v>
      </c>
      <c r="E874" s="3" t="s">
        <v>23</v>
      </c>
      <c r="F874" s="25"/>
      <c r="G874" s="3">
        <v>2</v>
      </c>
      <c r="H874" s="3">
        <v>5</v>
      </c>
      <c r="I874" s="3">
        <v>0</v>
      </c>
      <c r="J874" s="3">
        <v>5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18"/>
      <c r="Q874" s="18"/>
      <c r="R874" s="18"/>
      <c r="S874" s="3"/>
      <c r="T874" s="3"/>
      <c r="U874" s="3"/>
      <c r="V874" s="3"/>
      <c r="W874" s="22"/>
      <c r="Z874" s="27">
        <f t="shared" si="13"/>
        <v>2.5</v>
      </c>
    </row>
    <row r="875" spans="1:27" ht="23" customHeight="1">
      <c r="A875" s="3" t="s">
        <v>555</v>
      </c>
      <c r="B875" s="3" t="s">
        <v>1823</v>
      </c>
      <c r="C875" s="3" t="s">
        <v>1824</v>
      </c>
      <c r="D875" s="3" t="s">
        <v>22</v>
      </c>
      <c r="E875" s="3" t="s">
        <v>23</v>
      </c>
      <c r="F875" s="25"/>
      <c r="G875" s="3">
        <v>1</v>
      </c>
      <c r="H875" s="3">
        <v>2</v>
      </c>
      <c r="I875" s="3">
        <v>0</v>
      </c>
      <c r="J875" s="3">
        <v>1</v>
      </c>
      <c r="K875" s="3">
        <v>0</v>
      </c>
      <c r="L875" s="3">
        <v>0</v>
      </c>
      <c r="M875" s="3">
        <v>0</v>
      </c>
      <c r="N875" s="3">
        <v>0</v>
      </c>
      <c r="O875" s="3">
        <v>1</v>
      </c>
      <c r="P875" s="18"/>
      <c r="Q875" s="18"/>
      <c r="R875" s="18"/>
      <c r="S875" s="3"/>
      <c r="T875" s="3">
        <v>0</v>
      </c>
      <c r="U875" s="3">
        <v>-1</v>
      </c>
      <c r="V875" s="3">
        <v>315080.52</v>
      </c>
      <c r="W875" s="22"/>
      <c r="Z875" s="27">
        <f t="shared" si="13"/>
        <v>1</v>
      </c>
    </row>
    <row r="876" spans="1:27" ht="23" customHeight="1">
      <c r="A876" s="3" t="s">
        <v>194</v>
      </c>
      <c r="B876" s="3" t="s">
        <v>1825</v>
      </c>
      <c r="C876" s="3" t="s">
        <v>1826</v>
      </c>
      <c r="D876" s="3" t="s">
        <v>22</v>
      </c>
      <c r="E876" s="3" t="s">
        <v>23</v>
      </c>
      <c r="F876" s="25"/>
      <c r="G876" s="3">
        <v>1</v>
      </c>
      <c r="H876" s="3">
        <v>5</v>
      </c>
      <c r="I876" s="3">
        <v>0</v>
      </c>
      <c r="J876" s="3">
        <v>5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18"/>
      <c r="Q876" s="18"/>
      <c r="R876" s="18"/>
      <c r="S876" s="3"/>
      <c r="T876" s="3">
        <v>0</v>
      </c>
      <c r="U876" s="3">
        <v>-3</v>
      </c>
      <c r="V876" s="3">
        <v>313226.72375</v>
      </c>
      <c r="W876" s="22"/>
      <c r="Z876" s="27">
        <f t="shared" si="13"/>
        <v>5</v>
      </c>
    </row>
    <row r="877" spans="1:27" ht="20" customHeight="1">
      <c r="A877" s="3" t="s">
        <v>194</v>
      </c>
      <c r="B877" s="3" t="s">
        <v>1827</v>
      </c>
      <c r="C877" s="3" t="s">
        <v>1828</v>
      </c>
      <c r="D877" s="3" t="s">
        <v>22</v>
      </c>
      <c r="E877" s="3" t="s">
        <v>23</v>
      </c>
      <c r="F877" s="25"/>
      <c r="G877" s="3">
        <v>2</v>
      </c>
      <c r="H877" s="3">
        <v>7</v>
      </c>
      <c r="I877" s="3">
        <v>0</v>
      </c>
      <c r="J877" s="3">
        <v>1</v>
      </c>
      <c r="K877" s="3">
        <v>0</v>
      </c>
      <c r="L877" s="3">
        <v>0</v>
      </c>
      <c r="M877" s="3">
        <v>0</v>
      </c>
      <c r="N877" s="3">
        <v>1</v>
      </c>
      <c r="O877" s="3">
        <v>5</v>
      </c>
      <c r="P877" s="18"/>
      <c r="Q877" s="18"/>
      <c r="R877" s="18"/>
      <c r="S877" s="3"/>
      <c r="T877" s="3">
        <v>-4</v>
      </c>
      <c r="U877" s="3">
        <v>-10</v>
      </c>
      <c r="V877" s="3">
        <v>404130.66</v>
      </c>
      <c r="W877" s="22"/>
      <c r="Z877" s="27">
        <f t="shared" si="13"/>
        <v>0.5</v>
      </c>
    </row>
    <row r="878" spans="1:27" ht="23" customHeight="1">
      <c r="A878" s="3" t="s">
        <v>1829</v>
      </c>
      <c r="B878" s="3" t="s">
        <v>1830</v>
      </c>
      <c r="C878" s="3" t="s">
        <v>1831</v>
      </c>
      <c r="D878" s="3" t="s">
        <v>22</v>
      </c>
      <c r="E878" s="3" t="s">
        <v>23</v>
      </c>
      <c r="F878" s="25"/>
      <c r="G878" s="3">
        <v>1</v>
      </c>
      <c r="H878" s="3">
        <v>8</v>
      </c>
      <c r="I878" s="3">
        <v>0</v>
      </c>
      <c r="J878" s="3">
        <v>7</v>
      </c>
      <c r="K878" s="3">
        <v>0</v>
      </c>
      <c r="L878" s="3">
        <v>0</v>
      </c>
      <c r="M878" s="3">
        <v>0</v>
      </c>
      <c r="N878" s="3">
        <v>0</v>
      </c>
      <c r="O878" s="3">
        <v>1</v>
      </c>
      <c r="P878" s="18"/>
      <c r="Q878" s="18"/>
      <c r="R878" s="18"/>
      <c r="S878" s="3"/>
      <c r="T878" s="3">
        <v>0</v>
      </c>
      <c r="U878" s="3">
        <v>-2</v>
      </c>
      <c r="V878" s="3">
        <v>370464.66666666669</v>
      </c>
      <c r="W878" s="22"/>
      <c r="Z878" s="27">
        <f t="shared" si="13"/>
        <v>7</v>
      </c>
    </row>
    <row r="879" spans="1:27" ht="23" customHeight="1">
      <c r="A879" s="3" t="s">
        <v>1832</v>
      </c>
      <c r="B879" s="3" t="s">
        <v>1833</v>
      </c>
      <c r="C879" s="3" t="s">
        <v>1834</v>
      </c>
      <c r="D879" s="3" t="s">
        <v>22</v>
      </c>
      <c r="E879" s="3" t="s">
        <v>23</v>
      </c>
      <c r="F879" s="25"/>
      <c r="G879" s="3">
        <v>2</v>
      </c>
      <c r="H879" s="3">
        <v>7</v>
      </c>
      <c r="I879" s="3">
        <v>0</v>
      </c>
      <c r="J879" s="3">
        <v>3</v>
      </c>
      <c r="K879" s="3">
        <v>0</v>
      </c>
      <c r="L879" s="3">
        <v>0</v>
      </c>
      <c r="M879" s="3">
        <v>0</v>
      </c>
      <c r="N879" s="3">
        <v>0</v>
      </c>
      <c r="O879" s="3">
        <v>4</v>
      </c>
      <c r="P879" s="18"/>
      <c r="Q879" s="18"/>
      <c r="R879" s="18"/>
      <c r="S879" s="3"/>
      <c r="T879" s="3">
        <v>0</v>
      </c>
      <c r="U879" s="3">
        <v>-4</v>
      </c>
      <c r="V879" s="3">
        <v>321377.11600000004</v>
      </c>
      <c r="W879" s="22"/>
      <c r="Z879" s="27">
        <f t="shared" si="13"/>
        <v>1.5</v>
      </c>
    </row>
    <row r="880" spans="1:27" ht="23" customHeight="1">
      <c r="A880" s="3" t="s">
        <v>194</v>
      </c>
      <c r="B880" s="3" t="s">
        <v>1835</v>
      </c>
      <c r="C880" s="3" t="s">
        <v>1836</v>
      </c>
      <c r="D880" s="3" t="s">
        <v>22</v>
      </c>
      <c r="E880" s="3" t="s">
        <v>23</v>
      </c>
      <c r="F880" s="25"/>
      <c r="G880" s="3">
        <v>2</v>
      </c>
      <c r="H880" s="3">
        <v>17</v>
      </c>
      <c r="I880" s="3">
        <v>0</v>
      </c>
      <c r="J880" s="3">
        <v>15</v>
      </c>
      <c r="K880" s="3">
        <v>0</v>
      </c>
      <c r="L880" s="3">
        <v>0</v>
      </c>
      <c r="M880" s="3">
        <v>0</v>
      </c>
      <c r="N880" s="3">
        <v>0</v>
      </c>
      <c r="O880" s="3">
        <v>2</v>
      </c>
      <c r="P880" s="18"/>
      <c r="Q880" s="18"/>
      <c r="R880" s="18"/>
      <c r="S880" s="3">
        <v>1</v>
      </c>
      <c r="T880" s="3">
        <v>0</v>
      </c>
      <c r="U880" s="3">
        <v>-7</v>
      </c>
      <c r="V880" s="3">
        <v>1248905.8561743072</v>
      </c>
      <c r="W880" s="22"/>
      <c r="Z880" s="27">
        <f t="shared" si="13"/>
        <v>7.5</v>
      </c>
    </row>
    <row r="881" spans="1:26" ht="20" customHeight="1">
      <c r="A881" s="3" t="s">
        <v>194</v>
      </c>
      <c r="B881" s="3" t="s">
        <v>1837</v>
      </c>
      <c r="C881" s="3" t="s">
        <v>1836</v>
      </c>
      <c r="D881" s="3" t="s">
        <v>22</v>
      </c>
      <c r="E881" s="3" t="s">
        <v>23</v>
      </c>
      <c r="F881" s="25"/>
      <c r="G881" s="3">
        <v>2</v>
      </c>
      <c r="H881" s="3">
        <v>25</v>
      </c>
      <c r="I881" s="3">
        <v>0</v>
      </c>
      <c r="J881" s="3">
        <v>17</v>
      </c>
      <c r="K881" s="3">
        <v>0</v>
      </c>
      <c r="L881" s="3">
        <v>0</v>
      </c>
      <c r="M881" s="3">
        <v>0</v>
      </c>
      <c r="N881" s="3">
        <v>0</v>
      </c>
      <c r="O881" s="3">
        <v>8</v>
      </c>
      <c r="P881" s="18"/>
      <c r="Q881" s="18"/>
      <c r="R881" s="18"/>
      <c r="S881" s="3"/>
      <c r="T881" s="3">
        <v>-1</v>
      </c>
      <c r="U881" s="3">
        <v>-12</v>
      </c>
      <c r="V881" s="3">
        <v>1632195.084</v>
      </c>
      <c r="W881" s="22"/>
      <c r="Z881" s="27">
        <f t="shared" si="13"/>
        <v>8.5</v>
      </c>
    </row>
    <row r="882" spans="1:26" ht="23" customHeight="1">
      <c r="A882" s="3" t="s">
        <v>200</v>
      </c>
      <c r="B882" s="3" t="s">
        <v>1838</v>
      </c>
      <c r="C882" s="3" t="s">
        <v>1839</v>
      </c>
      <c r="D882" s="3" t="s">
        <v>22</v>
      </c>
      <c r="E882" s="3" t="s">
        <v>23</v>
      </c>
      <c r="F882" s="25"/>
      <c r="G882" s="3">
        <v>1</v>
      </c>
      <c r="H882" s="3">
        <v>2</v>
      </c>
      <c r="I882" s="3">
        <v>0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>
        <v>1</v>
      </c>
      <c r="P882" s="18"/>
      <c r="Q882" s="18"/>
      <c r="R882" s="18"/>
      <c r="S882" s="3"/>
      <c r="T882" s="3">
        <v>0</v>
      </c>
      <c r="U882" s="3">
        <v>-1</v>
      </c>
      <c r="V882" s="3"/>
      <c r="W882" s="22"/>
      <c r="Z882" s="27">
        <f t="shared" si="13"/>
        <v>1</v>
      </c>
    </row>
    <row r="883" spans="1:26" ht="23" customHeight="1">
      <c r="A883" s="3" t="s">
        <v>200</v>
      </c>
      <c r="B883" s="3" t="s">
        <v>1840</v>
      </c>
      <c r="C883" s="3" t="s">
        <v>1841</v>
      </c>
      <c r="D883" s="3" t="s">
        <v>22</v>
      </c>
      <c r="E883" s="3" t="s">
        <v>23</v>
      </c>
      <c r="F883" s="25"/>
      <c r="G883" s="3">
        <v>2</v>
      </c>
      <c r="H883" s="3">
        <v>3</v>
      </c>
      <c r="I883" s="3">
        <v>0</v>
      </c>
      <c r="J883" s="3">
        <v>2</v>
      </c>
      <c r="K883" s="3">
        <v>0</v>
      </c>
      <c r="L883" s="3">
        <v>0</v>
      </c>
      <c r="M883" s="3">
        <v>0</v>
      </c>
      <c r="N883" s="3">
        <v>0</v>
      </c>
      <c r="O883" s="3">
        <v>1</v>
      </c>
      <c r="P883" s="18"/>
      <c r="Q883" s="18"/>
      <c r="R883" s="18"/>
      <c r="S883" s="3"/>
      <c r="T883" s="3">
        <v>0</v>
      </c>
      <c r="U883" s="3">
        <v>-2</v>
      </c>
      <c r="V883" s="3">
        <v>483331.01666666666</v>
      </c>
      <c r="W883" s="22"/>
      <c r="Z883" s="27">
        <f t="shared" si="13"/>
        <v>1</v>
      </c>
    </row>
    <row r="884" spans="1:26" ht="23" customHeight="1">
      <c r="A884" s="3" t="s">
        <v>1842</v>
      </c>
      <c r="B884" s="3" t="s">
        <v>1843</v>
      </c>
      <c r="C884" s="3" t="s">
        <v>1844</v>
      </c>
      <c r="D884" s="3" t="s">
        <v>30</v>
      </c>
      <c r="E884" s="3" t="s">
        <v>23</v>
      </c>
      <c r="F884" s="25"/>
      <c r="G884" s="3">
        <v>1</v>
      </c>
      <c r="H884" s="3">
        <v>3</v>
      </c>
      <c r="I884" s="3">
        <v>0</v>
      </c>
      <c r="J884" s="3">
        <v>3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18"/>
      <c r="Q884" s="18"/>
      <c r="R884" s="18"/>
      <c r="S884" s="3"/>
      <c r="T884" s="3"/>
      <c r="U884" s="3"/>
      <c r="V884" s="3">
        <v>588102.24974999996</v>
      </c>
      <c r="W884" s="22"/>
      <c r="Z884" s="27">
        <f t="shared" si="13"/>
        <v>3</v>
      </c>
    </row>
    <row r="885" spans="1:26" ht="23" customHeight="1">
      <c r="A885" s="3" t="s">
        <v>1845</v>
      </c>
      <c r="B885" s="3" t="s">
        <v>1846</v>
      </c>
      <c r="C885" s="3" t="s">
        <v>1847</v>
      </c>
      <c r="D885" s="3" t="s">
        <v>22</v>
      </c>
      <c r="E885" s="3" t="s">
        <v>23</v>
      </c>
      <c r="F885" s="25"/>
      <c r="G885" s="3">
        <v>1</v>
      </c>
      <c r="H885" s="3">
        <v>2</v>
      </c>
      <c r="I885" s="3">
        <v>0</v>
      </c>
      <c r="J885" s="3">
        <v>2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18"/>
      <c r="Q885" s="18"/>
      <c r="R885" s="18"/>
      <c r="S885" s="3"/>
      <c r="T885" s="3"/>
      <c r="U885" s="3"/>
      <c r="V885" s="3">
        <v>156562.13</v>
      </c>
      <c r="W885" s="22"/>
      <c r="Z885" s="27">
        <f t="shared" si="13"/>
        <v>2</v>
      </c>
    </row>
    <row r="886" spans="1:26" ht="23" customHeight="1">
      <c r="A886" s="3" t="s">
        <v>1698</v>
      </c>
      <c r="B886" s="3" t="s">
        <v>1848</v>
      </c>
      <c r="C886" s="3" t="s">
        <v>1849</v>
      </c>
      <c r="D886" s="3" t="s">
        <v>1850</v>
      </c>
      <c r="E886" s="3" t="s">
        <v>23</v>
      </c>
      <c r="F886" s="25"/>
      <c r="G886" s="3">
        <v>15</v>
      </c>
      <c r="H886" s="3">
        <v>36</v>
      </c>
      <c r="I886" s="3">
        <v>0</v>
      </c>
      <c r="J886" s="3">
        <v>31</v>
      </c>
      <c r="K886" s="3">
        <v>0</v>
      </c>
      <c r="L886" s="3">
        <v>0</v>
      </c>
      <c r="M886" s="3">
        <v>0</v>
      </c>
      <c r="N886" s="3">
        <v>1</v>
      </c>
      <c r="O886" s="3">
        <v>4</v>
      </c>
      <c r="P886" s="18"/>
      <c r="Q886" s="18"/>
      <c r="R886" s="18"/>
      <c r="S886" s="3"/>
      <c r="T886" s="3">
        <v>-11</v>
      </c>
      <c r="U886" s="3">
        <v>-459</v>
      </c>
      <c r="V886" s="3"/>
      <c r="W886" s="22"/>
      <c r="Z886" s="27">
        <f t="shared" si="13"/>
        <v>2.0666666666666669</v>
      </c>
    </row>
    <row r="887" spans="1:26" ht="20" customHeight="1">
      <c r="A887" s="3" t="s">
        <v>1206</v>
      </c>
      <c r="B887" s="3" t="s">
        <v>1851</v>
      </c>
      <c r="C887" s="3" t="s">
        <v>1852</v>
      </c>
      <c r="D887" s="3" t="s">
        <v>22</v>
      </c>
      <c r="E887" s="3" t="s">
        <v>23</v>
      </c>
      <c r="F887" s="25"/>
      <c r="G887" s="3">
        <v>1</v>
      </c>
      <c r="H887" s="3">
        <v>3</v>
      </c>
      <c r="I887" s="3">
        <v>0</v>
      </c>
      <c r="J887" s="3">
        <v>3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18"/>
      <c r="Q887" s="18"/>
      <c r="R887" s="18"/>
      <c r="S887" s="3"/>
      <c r="T887" s="3">
        <v>0</v>
      </c>
      <c r="U887" s="3">
        <v>-1</v>
      </c>
      <c r="V887" s="3">
        <v>500000</v>
      </c>
      <c r="W887" s="22"/>
      <c r="Z887" s="27">
        <f t="shared" si="13"/>
        <v>3</v>
      </c>
    </row>
    <row r="888" spans="1:26" ht="23" customHeight="1">
      <c r="A888" s="3" t="s">
        <v>1206</v>
      </c>
      <c r="B888" s="3" t="s">
        <v>1853</v>
      </c>
      <c r="C888" s="3" t="s">
        <v>1852</v>
      </c>
      <c r="D888" s="3" t="s">
        <v>22</v>
      </c>
      <c r="E888" s="3" t="s">
        <v>23</v>
      </c>
      <c r="F888" s="25"/>
      <c r="G888" s="3">
        <v>1</v>
      </c>
      <c r="H888" s="3">
        <v>2</v>
      </c>
      <c r="I888" s="3">
        <v>0</v>
      </c>
      <c r="J888" s="3">
        <v>2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18"/>
      <c r="Q888" s="18"/>
      <c r="R888" s="18"/>
      <c r="S888" s="3"/>
      <c r="T888" s="3">
        <v>0</v>
      </c>
      <c r="U888" s="3">
        <v>-1</v>
      </c>
      <c r="V888" s="3">
        <v>5931574.8064409997</v>
      </c>
      <c r="W888" s="22"/>
      <c r="Z888" s="27">
        <f t="shared" si="13"/>
        <v>2</v>
      </c>
    </row>
    <row r="889" spans="1:26" ht="20" customHeight="1">
      <c r="A889" s="3" t="s">
        <v>1206</v>
      </c>
      <c r="B889" s="3" t="s">
        <v>1854</v>
      </c>
      <c r="C889" s="3" t="s">
        <v>1855</v>
      </c>
      <c r="D889" s="3" t="s">
        <v>22</v>
      </c>
      <c r="E889" s="3" t="s">
        <v>23</v>
      </c>
      <c r="F889" s="25"/>
      <c r="G889" s="3">
        <v>2</v>
      </c>
      <c r="H889" s="3">
        <v>7</v>
      </c>
      <c r="I889" s="3">
        <v>0</v>
      </c>
      <c r="J889" s="3">
        <v>3</v>
      </c>
      <c r="K889" s="3">
        <v>0</v>
      </c>
      <c r="L889" s="3">
        <v>0</v>
      </c>
      <c r="M889" s="3">
        <v>0</v>
      </c>
      <c r="N889" s="3">
        <v>0</v>
      </c>
      <c r="O889" s="3">
        <v>4</v>
      </c>
      <c r="P889" s="18"/>
      <c r="Q889" s="18"/>
      <c r="R889" s="18"/>
      <c r="S889" s="3"/>
      <c r="T889" s="3">
        <v>0</v>
      </c>
      <c r="U889" s="3">
        <v>-8</v>
      </c>
      <c r="V889" s="3">
        <v>0</v>
      </c>
      <c r="W889" s="22"/>
      <c r="Z889" s="27">
        <f t="shared" si="13"/>
        <v>1.5</v>
      </c>
    </row>
    <row r="890" spans="1:26" ht="20" customHeight="1">
      <c r="A890" s="3" t="s">
        <v>1206</v>
      </c>
      <c r="B890" s="3" t="s">
        <v>1856</v>
      </c>
      <c r="C890" s="3" t="s">
        <v>1855</v>
      </c>
      <c r="D890" s="3" t="s">
        <v>22</v>
      </c>
      <c r="E890" s="3" t="s">
        <v>23</v>
      </c>
      <c r="F890" s="25"/>
      <c r="G890" s="3">
        <v>1</v>
      </c>
      <c r="H890" s="3">
        <v>1</v>
      </c>
      <c r="I890" s="3">
        <v>0</v>
      </c>
      <c r="J890" s="3">
        <v>1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18"/>
      <c r="Q890" s="18"/>
      <c r="R890" s="18"/>
      <c r="S890" s="3"/>
      <c r="T890" s="3"/>
      <c r="U890" s="3"/>
      <c r="V890" s="3">
        <v>0</v>
      </c>
      <c r="W890" s="22"/>
      <c r="Z890" s="27">
        <f t="shared" si="13"/>
        <v>1</v>
      </c>
    </row>
    <row r="891" spans="1:26" ht="23" customHeight="1">
      <c r="A891" s="3" t="s">
        <v>1206</v>
      </c>
      <c r="B891" s="3" t="s">
        <v>1857</v>
      </c>
      <c r="C891" s="3" t="s">
        <v>1858</v>
      </c>
      <c r="D891" s="3" t="s">
        <v>22</v>
      </c>
      <c r="E891" s="3" t="s">
        <v>23</v>
      </c>
      <c r="F891" s="25"/>
      <c r="G891" s="3">
        <v>1</v>
      </c>
      <c r="H891" s="3">
        <v>2</v>
      </c>
      <c r="I891" s="3">
        <v>0</v>
      </c>
      <c r="J891" s="3">
        <v>1</v>
      </c>
      <c r="K891" s="3">
        <v>0</v>
      </c>
      <c r="L891" s="3">
        <v>0</v>
      </c>
      <c r="M891" s="3">
        <v>0</v>
      </c>
      <c r="N891" s="3">
        <v>0</v>
      </c>
      <c r="O891" s="3">
        <v>1</v>
      </c>
      <c r="P891" s="18"/>
      <c r="Q891" s="18"/>
      <c r="R891" s="18"/>
      <c r="S891" s="3"/>
      <c r="T891" s="3">
        <v>0</v>
      </c>
      <c r="U891" s="3">
        <v>-1</v>
      </c>
      <c r="V891" s="3">
        <v>212885.7</v>
      </c>
      <c r="W891" s="22"/>
      <c r="Z891" s="27">
        <f t="shared" si="13"/>
        <v>1</v>
      </c>
    </row>
    <row r="892" spans="1:26" ht="23" customHeight="1">
      <c r="A892" s="3" t="s">
        <v>1206</v>
      </c>
      <c r="B892" s="3" t="s">
        <v>1859</v>
      </c>
      <c r="C892" s="3" t="s">
        <v>1860</v>
      </c>
      <c r="D892" s="3" t="s">
        <v>22</v>
      </c>
      <c r="E892" s="3" t="s">
        <v>23</v>
      </c>
      <c r="F892" s="25"/>
      <c r="G892" s="3">
        <v>1</v>
      </c>
      <c r="H892" s="3">
        <v>4</v>
      </c>
      <c r="I892" s="3">
        <v>0</v>
      </c>
      <c r="J892" s="3">
        <v>4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18"/>
      <c r="Q892" s="18"/>
      <c r="R892" s="18"/>
      <c r="S892" s="3"/>
      <c r="T892" s="3">
        <v>0</v>
      </c>
      <c r="U892" s="3">
        <v>-1</v>
      </c>
      <c r="V892" s="3">
        <v>218409</v>
      </c>
      <c r="W892" s="22"/>
      <c r="Z892" s="27">
        <f t="shared" si="13"/>
        <v>4</v>
      </c>
    </row>
    <row r="893" spans="1:26" ht="23" customHeight="1">
      <c r="A893" s="3" t="s">
        <v>1206</v>
      </c>
      <c r="B893" s="3" t="s">
        <v>1861</v>
      </c>
      <c r="C893" s="3" t="s">
        <v>1862</v>
      </c>
      <c r="D893" s="3" t="s">
        <v>22</v>
      </c>
      <c r="E893" s="3" t="s">
        <v>23</v>
      </c>
      <c r="F893" s="25"/>
      <c r="G893" s="3">
        <v>1</v>
      </c>
      <c r="H893" s="3">
        <v>2</v>
      </c>
      <c r="I893" s="3">
        <v>0</v>
      </c>
      <c r="J893" s="3">
        <v>2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18"/>
      <c r="Q893" s="18"/>
      <c r="R893" s="18"/>
      <c r="S893" s="3"/>
      <c r="T893" s="3"/>
      <c r="U893" s="3"/>
      <c r="V893" s="3">
        <v>310840.23839999997</v>
      </c>
      <c r="W893" s="22"/>
      <c r="Z893" s="27">
        <f t="shared" si="13"/>
        <v>2</v>
      </c>
    </row>
    <row r="894" spans="1:26" ht="23" customHeight="1">
      <c r="A894" s="3" t="s">
        <v>1206</v>
      </c>
      <c r="B894" s="3" t="s">
        <v>1863</v>
      </c>
      <c r="C894" s="3" t="s">
        <v>1864</v>
      </c>
      <c r="D894" s="3" t="s">
        <v>22</v>
      </c>
      <c r="E894" s="3" t="s">
        <v>23</v>
      </c>
      <c r="F894" s="25"/>
      <c r="G894" s="3">
        <v>1</v>
      </c>
      <c r="H894" s="3">
        <v>4</v>
      </c>
      <c r="I894" s="3">
        <v>0</v>
      </c>
      <c r="J894" s="3">
        <v>4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18"/>
      <c r="Q894" s="18"/>
      <c r="R894" s="18"/>
      <c r="S894" s="3"/>
      <c r="T894" s="3">
        <v>0</v>
      </c>
      <c r="U894" s="3">
        <v>-1</v>
      </c>
      <c r="V894" s="3">
        <v>0</v>
      </c>
      <c r="W894" s="22"/>
      <c r="Z894" s="27">
        <f t="shared" si="13"/>
        <v>4</v>
      </c>
    </row>
    <row r="895" spans="1:26" ht="23" customHeight="1">
      <c r="A895" s="3" t="s">
        <v>1206</v>
      </c>
      <c r="B895" s="3" t="s">
        <v>1865</v>
      </c>
      <c r="C895" s="3" t="s">
        <v>1866</v>
      </c>
      <c r="D895" s="3" t="s">
        <v>22</v>
      </c>
      <c r="E895" s="3" t="s">
        <v>23</v>
      </c>
      <c r="F895" s="25"/>
      <c r="G895" s="3">
        <v>2</v>
      </c>
      <c r="H895" s="3">
        <v>7</v>
      </c>
      <c r="I895" s="3">
        <v>0</v>
      </c>
      <c r="J895" s="3">
        <v>4</v>
      </c>
      <c r="K895" s="3">
        <v>0</v>
      </c>
      <c r="L895" s="3">
        <v>0</v>
      </c>
      <c r="M895" s="3">
        <v>0</v>
      </c>
      <c r="N895" s="3">
        <v>0</v>
      </c>
      <c r="O895" s="3">
        <v>3</v>
      </c>
      <c r="P895" s="18"/>
      <c r="Q895" s="18"/>
      <c r="R895" s="18"/>
      <c r="S895" s="3"/>
      <c r="T895" s="3">
        <v>0</v>
      </c>
      <c r="U895" s="3">
        <v>-1</v>
      </c>
      <c r="V895" s="3">
        <v>318816.70898516668</v>
      </c>
      <c r="W895" s="22"/>
      <c r="Z895" s="27">
        <f t="shared" si="13"/>
        <v>2</v>
      </c>
    </row>
    <row r="896" spans="1:26" ht="34" customHeight="1">
      <c r="A896" s="3" t="s">
        <v>1206</v>
      </c>
      <c r="B896" s="3" t="s">
        <v>1867</v>
      </c>
      <c r="C896" s="3" t="s">
        <v>1868</v>
      </c>
      <c r="D896" s="3" t="s">
        <v>22</v>
      </c>
      <c r="E896" s="3" t="s">
        <v>145</v>
      </c>
      <c r="F896" s="25"/>
      <c r="G896" s="3">
        <v>1</v>
      </c>
      <c r="H896" s="3">
        <v>1</v>
      </c>
      <c r="I896" s="3">
        <v>0</v>
      </c>
      <c r="J896" s="3">
        <v>1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18"/>
      <c r="Q896" s="18"/>
      <c r="R896" s="18"/>
      <c r="S896" s="3"/>
      <c r="T896" s="3"/>
      <c r="U896" s="3"/>
      <c r="V896" s="3">
        <v>0</v>
      </c>
      <c r="W896" s="22"/>
      <c r="Z896" s="27">
        <f t="shared" si="13"/>
        <v>1</v>
      </c>
    </row>
    <row r="897" spans="1:27" ht="34" customHeight="1">
      <c r="A897" s="3" t="s">
        <v>437</v>
      </c>
      <c r="B897" s="3" t="s">
        <v>1869</v>
      </c>
      <c r="C897" s="3" t="s">
        <v>1868</v>
      </c>
      <c r="D897" s="3" t="s">
        <v>30</v>
      </c>
      <c r="E897" s="3" t="s">
        <v>145</v>
      </c>
      <c r="F897" s="25"/>
      <c r="G897" s="3">
        <v>1</v>
      </c>
      <c r="H897" s="3">
        <v>1</v>
      </c>
      <c r="I897" s="3">
        <v>0</v>
      </c>
      <c r="J897" s="3">
        <v>1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18"/>
      <c r="Q897" s="18"/>
      <c r="R897" s="18"/>
      <c r="S897" s="3"/>
      <c r="T897" s="3"/>
      <c r="U897" s="3"/>
      <c r="V897" s="3">
        <v>0</v>
      </c>
      <c r="W897" s="22"/>
      <c r="Z897" s="27">
        <f t="shared" si="13"/>
        <v>1</v>
      </c>
    </row>
    <row r="898" spans="1:27" ht="20" customHeight="1">
      <c r="A898" s="3" t="s">
        <v>1411</v>
      </c>
      <c r="B898" s="3" t="s">
        <v>1870</v>
      </c>
      <c r="C898" s="3" t="s">
        <v>1871</v>
      </c>
      <c r="D898" s="3" t="s">
        <v>22</v>
      </c>
      <c r="E898" s="3" t="s">
        <v>23</v>
      </c>
      <c r="F898" s="25"/>
      <c r="G898" s="3">
        <v>1</v>
      </c>
      <c r="H898" s="3">
        <v>1</v>
      </c>
      <c r="I898" s="3">
        <v>0</v>
      </c>
      <c r="J898" s="3">
        <v>1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18"/>
      <c r="Q898" s="18"/>
      <c r="R898" s="18"/>
      <c r="S898" s="3"/>
      <c r="T898" s="3"/>
      <c r="U898" s="3"/>
      <c r="V898" s="3">
        <v>840000</v>
      </c>
      <c r="W898" s="22"/>
      <c r="Z898" s="27">
        <f t="shared" si="13"/>
        <v>1</v>
      </c>
    </row>
    <row r="899" spans="1:27" ht="23" customHeight="1">
      <c r="A899" s="3" t="s">
        <v>1206</v>
      </c>
      <c r="B899" s="3" t="s">
        <v>1872</v>
      </c>
      <c r="C899" s="3" t="s">
        <v>1873</v>
      </c>
      <c r="D899" s="3" t="s">
        <v>22</v>
      </c>
      <c r="E899" s="3" t="s">
        <v>23</v>
      </c>
      <c r="F899" s="25"/>
      <c r="G899" s="3">
        <v>1</v>
      </c>
      <c r="H899" s="3">
        <v>5</v>
      </c>
      <c r="I899" s="3">
        <v>0</v>
      </c>
      <c r="J899" s="3">
        <v>5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18"/>
      <c r="Q899" s="18"/>
      <c r="R899" s="18"/>
      <c r="S899" s="3">
        <v>1</v>
      </c>
      <c r="T899" s="3">
        <v>0</v>
      </c>
      <c r="U899" s="3">
        <v>-2</v>
      </c>
      <c r="V899" s="3"/>
      <c r="W899" s="22"/>
      <c r="Z899" s="27">
        <f t="shared" si="13"/>
        <v>5</v>
      </c>
    </row>
    <row r="900" spans="1:27" ht="34" customHeight="1">
      <c r="A900" s="3" t="s">
        <v>1206</v>
      </c>
      <c r="B900" s="3" t="s">
        <v>1874</v>
      </c>
      <c r="C900" s="3" t="s">
        <v>1875</v>
      </c>
      <c r="D900" s="3" t="s">
        <v>22</v>
      </c>
      <c r="E900" s="3" t="s">
        <v>23</v>
      </c>
      <c r="F900" s="25"/>
      <c r="G900" s="3">
        <v>1</v>
      </c>
      <c r="H900" s="3">
        <v>2</v>
      </c>
      <c r="I900" s="3">
        <v>0</v>
      </c>
      <c r="J900" s="3">
        <v>1</v>
      </c>
      <c r="K900" s="3">
        <v>0</v>
      </c>
      <c r="L900" s="3">
        <v>0</v>
      </c>
      <c r="M900" s="3">
        <v>6</v>
      </c>
      <c r="N900" s="3">
        <v>0</v>
      </c>
      <c r="O900" s="3">
        <v>1</v>
      </c>
      <c r="P900" s="18"/>
      <c r="Q900" s="18"/>
      <c r="R900" s="18"/>
      <c r="S900" s="3">
        <v>1</v>
      </c>
      <c r="T900" s="3">
        <v>0</v>
      </c>
      <c r="U900" s="3">
        <v>-4</v>
      </c>
      <c r="V900" s="3"/>
      <c r="W900" s="22"/>
      <c r="Z900" s="27">
        <f t="shared" ref="Z900:Z914" si="14">J900/G900</f>
        <v>1</v>
      </c>
      <c r="AA900" s="19">
        <v>1</v>
      </c>
    </row>
    <row r="901" spans="1:27" ht="34" customHeight="1">
      <c r="A901" s="3" t="s">
        <v>1206</v>
      </c>
      <c r="B901" s="3" t="s">
        <v>1876</v>
      </c>
      <c r="C901" s="3" t="s">
        <v>1875</v>
      </c>
      <c r="D901" s="3" t="s">
        <v>22</v>
      </c>
      <c r="E901" s="3" t="s">
        <v>91</v>
      </c>
      <c r="F901" s="25"/>
      <c r="G901" s="3">
        <v>1</v>
      </c>
      <c r="H901" s="3">
        <v>2</v>
      </c>
      <c r="I901" s="3">
        <v>0</v>
      </c>
      <c r="J901" s="3">
        <v>1</v>
      </c>
      <c r="K901" s="3">
        <v>0</v>
      </c>
      <c r="L901" s="3">
        <v>0</v>
      </c>
      <c r="M901" s="3">
        <v>0</v>
      </c>
      <c r="N901" s="3">
        <v>0</v>
      </c>
      <c r="O901" s="3">
        <v>1</v>
      </c>
      <c r="P901" s="18"/>
      <c r="Q901" s="18"/>
      <c r="R901" s="18"/>
      <c r="S901" s="3"/>
      <c r="T901" s="3"/>
      <c r="U901" s="3"/>
      <c r="V901" s="3">
        <v>5014081.78</v>
      </c>
      <c r="W901" s="22"/>
      <c r="Z901" s="27">
        <f t="shared" si="14"/>
        <v>1</v>
      </c>
    </row>
    <row r="902" spans="1:27" ht="20" customHeight="1">
      <c r="A902" s="3" t="s">
        <v>471</v>
      </c>
      <c r="B902" s="3" t="s">
        <v>1877</v>
      </c>
      <c r="C902" s="3" t="s">
        <v>1878</v>
      </c>
      <c r="D902" s="3" t="s">
        <v>22</v>
      </c>
      <c r="E902" s="3" t="s">
        <v>23</v>
      </c>
      <c r="F902" s="25"/>
      <c r="G902" s="3">
        <v>1</v>
      </c>
      <c r="H902" s="3">
        <v>1</v>
      </c>
      <c r="I902" s="3">
        <v>0</v>
      </c>
      <c r="J902" s="3">
        <v>1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18"/>
      <c r="Q902" s="18"/>
      <c r="R902" s="18"/>
      <c r="S902" s="3"/>
      <c r="T902" s="3"/>
      <c r="U902" s="3"/>
      <c r="V902" s="3"/>
      <c r="W902" s="22"/>
      <c r="Z902" s="27">
        <f t="shared" si="14"/>
        <v>1</v>
      </c>
    </row>
    <row r="903" spans="1:27" ht="20" customHeight="1">
      <c r="A903" s="3" t="s">
        <v>471</v>
      </c>
      <c r="B903" s="3" t="s">
        <v>1879</v>
      </c>
      <c r="C903" s="3" t="s">
        <v>1878</v>
      </c>
      <c r="D903" s="3" t="s">
        <v>22</v>
      </c>
      <c r="E903" s="3" t="s">
        <v>23</v>
      </c>
      <c r="F903" s="25"/>
      <c r="G903" s="3">
        <v>2</v>
      </c>
      <c r="H903" s="3">
        <v>2</v>
      </c>
      <c r="I903" s="3">
        <v>0</v>
      </c>
      <c r="J903" s="3">
        <v>2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18"/>
      <c r="Q903" s="18"/>
      <c r="R903" s="18"/>
      <c r="S903" s="3"/>
      <c r="T903" s="3"/>
      <c r="U903" s="3"/>
      <c r="V903" s="3">
        <v>270000</v>
      </c>
      <c r="W903" s="22"/>
      <c r="Z903" s="27">
        <f t="shared" si="14"/>
        <v>1</v>
      </c>
    </row>
    <row r="904" spans="1:27" ht="23" customHeight="1">
      <c r="A904" s="3" t="s">
        <v>1880</v>
      </c>
      <c r="B904" s="3" t="s">
        <v>1881</v>
      </c>
      <c r="C904" s="3" t="s">
        <v>1878</v>
      </c>
      <c r="D904" s="3" t="s">
        <v>22</v>
      </c>
      <c r="E904" s="3" t="s">
        <v>23</v>
      </c>
      <c r="F904" s="25"/>
      <c r="G904" s="3">
        <v>2</v>
      </c>
      <c r="H904" s="3">
        <v>19</v>
      </c>
      <c r="I904" s="3">
        <v>0</v>
      </c>
      <c r="J904" s="3">
        <v>14</v>
      </c>
      <c r="K904" s="3">
        <v>0</v>
      </c>
      <c r="L904" s="3">
        <v>0</v>
      </c>
      <c r="M904" s="3">
        <v>0</v>
      </c>
      <c r="N904" s="3">
        <v>0</v>
      </c>
      <c r="O904" s="3">
        <v>5</v>
      </c>
      <c r="P904" s="18"/>
      <c r="Q904" s="18"/>
      <c r="R904" s="18"/>
      <c r="S904" s="3"/>
      <c r="T904" s="3">
        <v>-2</v>
      </c>
      <c r="U904" s="3">
        <v>-15</v>
      </c>
      <c r="V904" s="3">
        <v>322333.38257422228</v>
      </c>
      <c r="W904" s="22"/>
      <c r="Z904" s="27">
        <f t="shared" si="14"/>
        <v>7</v>
      </c>
    </row>
    <row r="905" spans="1:27" ht="20" customHeight="1">
      <c r="A905" s="3" t="s">
        <v>813</v>
      </c>
      <c r="B905" s="3" t="s">
        <v>1882</v>
      </c>
      <c r="C905" s="3" t="s">
        <v>1878</v>
      </c>
      <c r="D905" s="3" t="s">
        <v>22</v>
      </c>
      <c r="E905" s="3" t="s">
        <v>23</v>
      </c>
      <c r="F905" s="25"/>
      <c r="G905" s="3">
        <v>1</v>
      </c>
      <c r="H905" s="3">
        <v>5</v>
      </c>
      <c r="I905" s="3">
        <v>0</v>
      </c>
      <c r="J905" s="3">
        <v>5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18"/>
      <c r="Q905" s="18"/>
      <c r="R905" s="18"/>
      <c r="S905" s="3"/>
      <c r="T905" s="3">
        <v>0</v>
      </c>
      <c r="U905" s="3">
        <v>-3</v>
      </c>
      <c r="V905" s="3"/>
      <c r="W905" s="22"/>
      <c r="Z905" s="27">
        <f t="shared" si="14"/>
        <v>5</v>
      </c>
    </row>
    <row r="906" spans="1:27" ht="23" customHeight="1">
      <c r="A906" s="3" t="s">
        <v>1206</v>
      </c>
      <c r="B906" s="3" t="s">
        <v>1883</v>
      </c>
      <c r="C906" s="3" t="s">
        <v>1884</v>
      </c>
      <c r="D906" s="3" t="s">
        <v>30</v>
      </c>
      <c r="E906" s="3" t="s">
        <v>23</v>
      </c>
      <c r="F906" s="25"/>
      <c r="G906" s="3">
        <v>8</v>
      </c>
      <c r="H906" s="3">
        <v>8</v>
      </c>
      <c r="I906" s="3">
        <v>0</v>
      </c>
      <c r="J906" s="3">
        <v>7</v>
      </c>
      <c r="K906" s="3">
        <v>0</v>
      </c>
      <c r="L906" s="3">
        <v>0</v>
      </c>
      <c r="M906" s="3">
        <v>0</v>
      </c>
      <c r="N906" s="3">
        <v>0</v>
      </c>
      <c r="O906" s="3">
        <v>1</v>
      </c>
      <c r="P906" s="18"/>
      <c r="Q906" s="18"/>
      <c r="R906" s="18"/>
      <c r="S906" s="3"/>
      <c r="T906" s="3">
        <v>0</v>
      </c>
      <c r="U906" s="3">
        <v>-4</v>
      </c>
      <c r="V906" s="3">
        <v>33778.19090909091</v>
      </c>
      <c r="W906" s="22"/>
      <c r="Z906" s="27">
        <f t="shared" si="14"/>
        <v>0.875</v>
      </c>
    </row>
    <row r="907" spans="1:27" ht="23" customHeight="1">
      <c r="A907" s="3" t="s">
        <v>1885</v>
      </c>
      <c r="B907" s="3" t="s">
        <v>1886</v>
      </c>
      <c r="C907" s="3" t="s">
        <v>1884</v>
      </c>
      <c r="D907" s="3" t="s">
        <v>22</v>
      </c>
      <c r="E907" s="3" t="s">
        <v>23</v>
      </c>
      <c r="F907" s="25"/>
      <c r="G907" s="3">
        <v>1</v>
      </c>
      <c r="H907" s="3">
        <v>8</v>
      </c>
      <c r="I907" s="3">
        <v>0</v>
      </c>
      <c r="J907" s="3">
        <v>8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18"/>
      <c r="Q907" s="18"/>
      <c r="R907" s="18"/>
      <c r="S907" s="3"/>
      <c r="T907" s="3"/>
      <c r="U907" s="3"/>
      <c r="V907" s="3"/>
      <c r="W907" s="22"/>
      <c r="Z907" s="27">
        <f t="shared" si="14"/>
        <v>8</v>
      </c>
    </row>
    <row r="908" spans="1:27" ht="23" customHeight="1">
      <c r="A908" s="3" t="s">
        <v>1885</v>
      </c>
      <c r="B908" s="3" t="s">
        <v>1887</v>
      </c>
      <c r="C908" s="3" t="s">
        <v>1884</v>
      </c>
      <c r="D908" s="3" t="s">
        <v>30</v>
      </c>
      <c r="E908" s="3" t="s">
        <v>23</v>
      </c>
      <c r="F908" s="25"/>
      <c r="G908" s="3">
        <v>1</v>
      </c>
      <c r="H908" s="3">
        <v>11</v>
      </c>
      <c r="I908" s="3">
        <v>0</v>
      </c>
      <c r="J908" s="3">
        <v>10</v>
      </c>
      <c r="K908" s="3">
        <v>1</v>
      </c>
      <c r="L908" s="3">
        <v>0</v>
      </c>
      <c r="M908" s="3">
        <v>0</v>
      </c>
      <c r="N908" s="3">
        <v>0</v>
      </c>
      <c r="O908" s="3">
        <v>0</v>
      </c>
      <c r="P908" s="18"/>
      <c r="Q908" s="18"/>
      <c r="R908" s="18"/>
      <c r="S908" s="3"/>
      <c r="T908" s="3"/>
      <c r="U908" s="3"/>
      <c r="V908" s="3"/>
      <c r="W908" s="22"/>
      <c r="Z908" s="27">
        <f t="shared" si="14"/>
        <v>10</v>
      </c>
    </row>
    <row r="909" spans="1:27" ht="23" customHeight="1">
      <c r="A909" s="3" t="s">
        <v>1411</v>
      </c>
      <c r="B909" s="3" t="s">
        <v>1888</v>
      </c>
      <c r="C909" s="3" t="s">
        <v>1889</v>
      </c>
      <c r="D909" s="3" t="s">
        <v>22</v>
      </c>
      <c r="E909" s="3" t="s">
        <v>23</v>
      </c>
      <c r="F909" s="25"/>
      <c r="G909" s="3">
        <v>4</v>
      </c>
      <c r="H909" s="3">
        <v>11</v>
      </c>
      <c r="I909" s="3">
        <v>0</v>
      </c>
      <c r="J909" s="3">
        <v>6</v>
      </c>
      <c r="K909" s="3">
        <v>0</v>
      </c>
      <c r="L909" s="3">
        <v>0</v>
      </c>
      <c r="M909" s="3">
        <v>0</v>
      </c>
      <c r="N909" s="3">
        <v>0</v>
      </c>
      <c r="O909" s="3">
        <v>5</v>
      </c>
      <c r="P909" s="18"/>
      <c r="Q909" s="18"/>
      <c r="R909" s="18"/>
      <c r="S909" s="3"/>
      <c r="T909" s="3">
        <v>0</v>
      </c>
      <c r="U909" s="3">
        <v>-6</v>
      </c>
      <c r="V909" s="3">
        <v>188738.54178059718</v>
      </c>
      <c r="W909" s="22"/>
      <c r="Z909" s="27">
        <f t="shared" si="14"/>
        <v>1.5</v>
      </c>
    </row>
    <row r="910" spans="1:27" ht="34" customHeight="1">
      <c r="A910" s="3" t="s">
        <v>1411</v>
      </c>
      <c r="B910" s="3" t="s">
        <v>1890</v>
      </c>
      <c r="C910" s="3" t="s">
        <v>1891</v>
      </c>
      <c r="D910" s="3" t="s">
        <v>22</v>
      </c>
      <c r="E910" s="3" t="s">
        <v>23</v>
      </c>
      <c r="F910" s="25"/>
      <c r="G910" s="3">
        <v>5</v>
      </c>
      <c r="H910" s="3">
        <v>25</v>
      </c>
      <c r="I910" s="3">
        <v>0</v>
      </c>
      <c r="J910" s="3">
        <v>21</v>
      </c>
      <c r="K910" s="3">
        <v>0</v>
      </c>
      <c r="L910" s="3">
        <v>0</v>
      </c>
      <c r="M910" s="3">
        <v>0</v>
      </c>
      <c r="N910" s="3">
        <v>1</v>
      </c>
      <c r="O910" s="3">
        <v>3</v>
      </c>
      <c r="P910" s="18"/>
      <c r="Q910" s="18"/>
      <c r="R910" s="18"/>
      <c r="S910" s="3"/>
      <c r="T910" s="3">
        <v>-2</v>
      </c>
      <c r="U910" s="3">
        <v>-8</v>
      </c>
      <c r="V910" s="3">
        <v>224030.83974675325</v>
      </c>
      <c r="W910" s="22"/>
      <c r="Z910" s="27">
        <f t="shared" si="14"/>
        <v>4.2</v>
      </c>
    </row>
    <row r="911" spans="1:27" ht="34" customHeight="1">
      <c r="A911" s="3" t="s">
        <v>1411</v>
      </c>
      <c r="B911" s="3" t="s">
        <v>1892</v>
      </c>
      <c r="C911" s="3" t="s">
        <v>1893</v>
      </c>
      <c r="D911" s="3" t="s">
        <v>30</v>
      </c>
      <c r="E911" s="3" t="s">
        <v>23</v>
      </c>
      <c r="F911" s="25"/>
      <c r="G911" s="3">
        <v>1</v>
      </c>
      <c r="H911" s="3">
        <v>6</v>
      </c>
      <c r="I911" s="3">
        <v>0</v>
      </c>
      <c r="J911" s="3">
        <v>6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18"/>
      <c r="Q911" s="18"/>
      <c r="R911" s="18"/>
      <c r="S911" s="3"/>
      <c r="T911" s="3"/>
      <c r="U911" s="3"/>
      <c r="V911" s="3">
        <v>285575.61086666671</v>
      </c>
      <c r="W911" s="22"/>
      <c r="Z911" s="27">
        <f t="shared" si="14"/>
        <v>6</v>
      </c>
    </row>
    <row r="912" spans="1:27" ht="23" customHeight="1">
      <c r="A912" s="3" t="s">
        <v>793</v>
      </c>
      <c r="B912" s="3" t="s">
        <v>1894</v>
      </c>
      <c r="C912" s="3" t="s">
        <v>1895</v>
      </c>
      <c r="D912" s="3" t="s">
        <v>22</v>
      </c>
      <c r="E912" s="3" t="s">
        <v>23</v>
      </c>
      <c r="F912" s="25"/>
      <c r="G912" s="3">
        <v>4</v>
      </c>
      <c r="H912" s="3">
        <v>0</v>
      </c>
      <c r="I912" s="3">
        <v>0</v>
      </c>
      <c r="J912" s="3">
        <v>0</v>
      </c>
      <c r="K912" s="3">
        <v>0</v>
      </c>
      <c r="L912" s="3">
        <v>1</v>
      </c>
      <c r="M912" s="3">
        <v>0</v>
      </c>
      <c r="N912" s="3">
        <v>0</v>
      </c>
      <c r="O912" s="3">
        <v>0</v>
      </c>
      <c r="P912" s="18"/>
      <c r="Q912" s="18"/>
      <c r="R912" s="18"/>
      <c r="S912" s="3">
        <v>12</v>
      </c>
      <c r="T912" s="3">
        <v>-1</v>
      </c>
      <c r="U912" s="3">
        <v>-9</v>
      </c>
      <c r="V912" s="3">
        <v>273633.10202661314</v>
      </c>
      <c r="W912" s="22"/>
      <c r="Z912" s="27">
        <f t="shared" si="14"/>
        <v>0</v>
      </c>
      <c r="AA912" s="19">
        <v>1</v>
      </c>
    </row>
    <row r="913" spans="1:26" ht="23" customHeight="1">
      <c r="A913" s="3" t="s">
        <v>791</v>
      </c>
      <c r="B913" s="3" t="s">
        <v>1896</v>
      </c>
      <c r="C913" s="3" t="s">
        <v>221</v>
      </c>
      <c r="D913" s="3" t="s">
        <v>22</v>
      </c>
      <c r="E913" s="3" t="s">
        <v>23</v>
      </c>
      <c r="F913" s="25"/>
      <c r="G913" s="3">
        <v>2</v>
      </c>
      <c r="H913" s="3">
        <v>10</v>
      </c>
      <c r="I913" s="3">
        <v>0</v>
      </c>
      <c r="J913" s="3">
        <v>10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18"/>
      <c r="Q913" s="18"/>
      <c r="R913" s="18"/>
      <c r="S913" s="3"/>
      <c r="T913" s="3"/>
      <c r="U913" s="3"/>
      <c r="V913" s="3">
        <v>132451.58359999998</v>
      </c>
      <c r="W913" s="22"/>
      <c r="Z913" s="27">
        <f t="shared" si="14"/>
        <v>5</v>
      </c>
    </row>
    <row r="914" spans="1:26" ht="23" customHeight="1">
      <c r="A914" s="3" t="s">
        <v>160</v>
      </c>
      <c r="B914" s="3" t="s">
        <v>1897</v>
      </c>
      <c r="C914" s="3" t="s">
        <v>1898</v>
      </c>
      <c r="D914" s="3" t="s">
        <v>22</v>
      </c>
      <c r="E914" s="3" t="s">
        <v>23</v>
      </c>
      <c r="F914" s="25"/>
      <c r="G914" s="3">
        <v>1</v>
      </c>
      <c r="H914" s="3">
        <v>5</v>
      </c>
      <c r="I914" s="3">
        <v>0</v>
      </c>
      <c r="J914" s="3">
        <v>5</v>
      </c>
      <c r="K914" s="3">
        <v>0</v>
      </c>
      <c r="L914" s="3">
        <v>1</v>
      </c>
      <c r="M914" s="3">
        <v>1</v>
      </c>
      <c r="N914" s="3">
        <v>0</v>
      </c>
      <c r="O914" s="3">
        <v>0</v>
      </c>
      <c r="P914" s="18"/>
      <c r="Q914" s="18"/>
      <c r="R914" s="18"/>
      <c r="S914" s="3"/>
      <c r="T914" s="3">
        <v>-1</v>
      </c>
      <c r="U914" s="3">
        <v>-4</v>
      </c>
      <c r="V914" s="3">
        <v>234730.65214464284</v>
      </c>
      <c r="W914" s="22"/>
      <c r="Z914" s="27">
        <f t="shared" si="14"/>
        <v>5</v>
      </c>
    </row>
  </sheetData>
  <autoFilter ref="A2:AA914" xr:uid="{9F9C91E7-38DD-4CA5-84B8-665A193D0869}"/>
  <mergeCells count="1">
    <mergeCell ref="A1:V1"/>
  </mergeCells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S914"/>
  <sheetViews>
    <sheetView workbookViewId="0">
      <selection sqref="A1:AS1"/>
    </sheetView>
  </sheetViews>
  <sheetFormatPr defaultRowHeight="14.5"/>
  <cols>
    <col min="1" max="1" width="11.6328125" customWidth="1"/>
    <col min="2" max="3" width="16.6328125" customWidth="1"/>
    <col min="4" max="8" width="8.36328125" customWidth="1"/>
    <col min="9" max="9" width="13.36328125" customWidth="1"/>
    <col min="10" max="13" width="8.36328125" customWidth="1"/>
    <col min="14" max="14" width="13.36328125" customWidth="1"/>
    <col min="15" max="18" width="8.36328125" customWidth="1"/>
    <col min="19" max="19" width="13.36328125" customWidth="1"/>
    <col min="20" max="23" width="8.36328125" customWidth="1"/>
    <col min="24" max="24" width="13.36328125" customWidth="1"/>
    <col min="25" max="28" width="8.36328125" customWidth="1"/>
    <col min="29" max="29" width="13.36328125" customWidth="1"/>
    <col min="30" max="33" width="8.36328125" customWidth="1"/>
    <col min="34" max="34" width="13.36328125" customWidth="1"/>
    <col min="35" max="38" width="8.36328125" customWidth="1"/>
    <col min="39" max="39" width="13.36328125" customWidth="1"/>
    <col min="40" max="43" width="8.36328125" customWidth="1"/>
    <col min="44" max="44" width="13.36328125" customWidth="1"/>
    <col min="45" max="45" width="8.36328125" customWidth="1"/>
  </cols>
  <sheetData>
    <row r="1" spans="1:45" ht="30" customHeight="1">
      <c r="A1" s="16" t="s">
        <v>1899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ht="40" customHeight="1">
      <c r="A2" s="4" t="s">
        <v>1900</v>
      </c>
      <c r="B2" s="4" t="s">
        <v>1901</v>
      </c>
      <c r="C2" s="4" t="s">
        <v>1902</v>
      </c>
      <c r="D2" s="4" t="s">
        <v>1903</v>
      </c>
      <c r="E2" s="5" t="s">
        <v>1904</v>
      </c>
      <c r="F2" s="5" t="s">
        <v>1905</v>
      </c>
      <c r="G2" s="5" t="s">
        <v>1906</v>
      </c>
      <c r="H2" s="5" t="s">
        <v>1907</v>
      </c>
      <c r="I2" s="5" t="s">
        <v>1908</v>
      </c>
      <c r="J2" s="6" t="s">
        <v>1909</v>
      </c>
      <c r="K2" s="6" t="s">
        <v>1910</v>
      </c>
      <c r="L2" s="6" t="s">
        <v>1911</v>
      </c>
      <c r="M2" s="6" t="s">
        <v>1912</v>
      </c>
      <c r="N2" s="6" t="s">
        <v>1913</v>
      </c>
      <c r="O2" s="7" t="s">
        <v>1914</v>
      </c>
      <c r="P2" s="7" t="s">
        <v>1915</v>
      </c>
      <c r="Q2" s="7" t="s">
        <v>1916</v>
      </c>
      <c r="R2" s="7" t="s">
        <v>1917</v>
      </c>
      <c r="S2" s="7" t="s">
        <v>1918</v>
      </c>
      <c r="T2" s="8" t="s">
        <v>1919</v>
      </c>
      <c r="U2" s="8" t="s">
        <v>1920</v>
      </c>
      <c r="V2" s="8" t="s">
        <v>1921</v>
      </c>
      <c r="W2" s="8" t="s">
        <v>1922</v>
      </c>
      <c r="X2" s="8" t="s">
        <v>1923</v>
      </c>
      <c r="Y2" s="9" t="s">
        <v>1924</v>
      </c>
      <c r="Z2" s="9" t="s">
        <v>1925</v>
      </c>
      <c r="AA2" s="9" t="s">
        <v>1926</v>
      </c>
      <c r="AB2" s="9" t="s">
        <v>1927</v>
      </c>
      <c r="AC2" s="9" t="s">
        <v>1928</v>
      </c>
      <c r="AD2" s="10" t="s">
        <v>1929</v>
      </c>
      <c r="AE2" s="10" t="s">
        <v>1930</v>
      </c>
      <c r="AF2" s="10" t="s">
        <v>1931</v>
      </c>
      <c r="AG2" s="10" t="s">
        <v>1932</v>
      </c>
      <c r="AH2" s="10" t="s">
        <v>1933</v>
      </c>
      <c r="AI2" s="11" t="s">
        <v>1934</v>
      </c>
      <c r="AJ2" s="11" t="s">
        <v>1935</v>
      </c>
      <c r="AK2" s="11" t="s">
        <v>1936</v>
      </c>
      <c r="AL2" s="11" t="s">
        <v>1937</v>
      </c>
      <c r="AM2" s="11" t="s">
        <v>1938</v>
      </c>
      <c r="AN2" s="12" t="s">
        <v>1939</v>
      </c>
      <c r="AO2" s="12" t="s">
        <v>1940</v>
      </c>
      <c r="AP2" s="12" t="s">
        <v>1941</v>
      </c>
      <c r="AQ2" s="12" t="s">
        <v>1942</v>
      </c>
      <c r="AR2" s="12" t="s">
        <v>1943</v>
      </c>
      <c r="AS2" s="4" t="s">
        <v>1944</v>
      </c>
    </row>
    <row r="3" spans="1:45" ht="20" customHeight="1">
      <c r="A3" s="13" t="s">
        <v>20</v>
      </c>
      <c r="B3" s="13" t="s">
        <v>21</v>
      </c>
      <c r="C3" s="13"/>
      <c r="D3" s="13">
        <v>10</v>
      </c>
      <c r="E3" s="13">
        <v>1</v>
      </c>
      <c r="F3" s="13">
        <v>5</v>
      </c>
      <c r="G3" s="13">
        <v>0</v>
      </c>
      <c r="H3" s="13">
        <v>-4</v>
      </c>
      <c r="I3" s="13">
        <v>-3</v>
      </c>
      <c r="J3" s="13">
        <v>1</v>
      </c>
      <c r="K3" s="13">
        <v>2</v>
      </c>
      <c r="L3" s="13">
        <v>0</v>
      </c>
      <c r="M3" s="13">
        <v>-1</v>
      </c>
      <c r="N3" s="13">
        <v>-1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-3</v>
      </c>
    </row>
    <row r="4" spans="1:45" ht="34" customHeight="1">
      <c r="A4" s="13" t="s">
        <v>25</v>
      </c>
      <c r="B4" s="13" t="s">
        <v>26</v>
      </c>
      <c r="C4" s="13"/>
      <c r="D4" s="13">
        <v>0</v>
      </c>
      <c r="E4" s="13">
        <v>1</v>
      </c>
      <c r="F4" s="13">
        <v>0</v>
      </c>
      <c r="G4" s="13">
        <v>0</v>
      </c>
      <c r="H4" s="14">
        <v>1</v>
      </c>
      <c r="I4" s="13">
        <v>-7</v>
      </c>
      <c r="J4" s="13">
        <v>1</v>
      </c>
      <c r="K4" s="13">
        <v>0</v>
      </c>
      <c r="L4" s="13">
        <v>0</v>
      </c>
      <c r="M4" s="14">
        <v>1</v>
      </c>
      <c r="N4" s="13">
        <v>-1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4">
        <v>2</v>
      </c>
    </row>
    <row r="5" spans="1:45" ht="23" customHeight="1">
      <c r="A5" s="13" t="s">
        <v>28</v>
      </c>
      <c r="B5" s="13" t="s">
        <v>29</v>
      </c>
      <c r="C5" s="13" t="s">
        <v>1945</v>
      </c>
      <c r="D5" s="13">
        <v>0</v>
      </c>
      <c r="E5" s="13">
        <v>1</v>
      </c>
      <c r="F5" s="13">
        <v>0</v>
      </c>
      <c r="G5" s="13">
        <v>0</v>
      </c>
      <c r="H5" s="14">
        <v>1</v>
      </c>
      <c r="I5" s="13">
        <v>0</v>
      </c>
      <c r="J5" s="13">
        <v>1</v>
      </c>
      <c r="K5" s="13">
        <v>1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4">
        <v>1</v>
      </c>
    </row>
    <row r="6" spans="1:45" ht="23" customHeight="1">
      <c r="A6" s="13" t="s">
        <v>32</v>
      </c>
      <c r="B6" s="13" t="s">
        <v>33</v>
      </c>
      <c r="C6" s="13" t="s">
        <v>1946</v>
      </c>
      <c r="D6" s="13">
        <v>0</v>
      </c>
      <c r="E6" s="13">
        <v>1</v>
      </c>
      <c r="F6" s="13">
        <v>2</v>
      </c>
      <c r="G6" s="13">
        <v>0</v>
      </c>
      <c r="H6" s="13">
        <v>-1</v>
      </c>
      <c r="I6" s="13">
        <v>0</v>
      </c>
      <c r="J6" s="13">
        <v>0</v>
      </c>
      <c r="K6" s="13">
        <v>1</v>
      </c>
      <c r="L6" s="13">
        <v>0</v>
      </c>
      <c r="M6" s="13">
        <v>-1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-2</v>
      </c>
    </row>
    <row r="7" spans="1:45" ht="23" customHeight="1">
      <c r="A7" s="13" t="s">
        <v>34</v>
      </c>
      <c r="B7" s="13" t="s">
        <v>35</v>
      </c>
      <c r="C7" s="13"/>
      <c r="D7" s="13">
        <v>0</v>
      </c>
      <c r="E7" s="13">
        <v>1</v>
      </c>
      <c r="F7" s="13">
        <v>1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</row>
    <row r="8" spans="1:45" ht="23" customHeight="1">
      <c r="A8" s="13" t="s">
        <v>37</v>
      </c>
      <c r="B8" s="13" t="s">
        <v>38</v>
      </c>
      <c r="C8" s="13" t="s">
        <v>1947</v>
      </c>
      <c r="D8" s="13">
        <v>1</v>
      </c>
      <c r="E8" s="13">
        <v>0</v>
      </c>
      <c r="F8" s="13">
        <v>3</v>
      </c>
      <c r="G8" s="13">
        <v>0</v>
      </c>
      <c r="H8" s="13">
        <v>-3</v>
      </c>
      <c r="I8" s="13">
        <v>0</v>
      </c>
      <c r="J8" s="13">
        <v>1</v>
      </c>
      <c r="K8" s="13">
        <v>2</v>
      </c>
      <c r="L8" s="13">
        <v>0</v>
      </c>
      <c r="M8" s="13">
        <v>-1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-3</v>
      </c>
    </row>
    <row r="9" spans="1:45" ht="23" customHeight="1">
      <c r="A9" s="13" t="s">
        <v>40</v>
      </c>
      <c r="B9" s="13" t="s">
        <v>41</v>
      </c>
      <c r="C9" s="13"/>
      <c r="D9" s="13">
        <v>0</v>
      </c>
      <c r="E9" s="13">
        <v>0</v>
      </c>
      <c r="F9" s="13">
        <v>4</v>
      </c>
      <c r="G9" s="13">
        <v>0</v>
      </c>
      <c r="H9" s="13">
        <v>-4</v>
      </c>
      <c r="I9" s="13">
        <v>-4</v>
      </c>
      <c r="J9" s="13">
        <v>1</v>
      </c>
      <c r="K9" s="13">
        <v>1</v>
      </c>
      <c r="L9" s="13">
        <v>0</v>
      </c>
      <c r="M9" s="13">
        <v>0</v>
      </c>
      <c r="N9" s="13">
        <v>-1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-2</v>
      </c>
    </row>
    <row r="10" spans="1:45" ht="23" customHeight="1">
      <c r="A10" s="13" t="s">
        <v>43</v>
      </c>
      <c r="B10" s="13" t="s">
        <v>44</v>
      </c>
      <c r="C10" s="13" t="s">
        <v>1948</v>
      </c>
      <c r="D10" s="13">
        <v>0</v>
      </c>
      <c r="E10" s="13">
        <v>0</v>
      </c>
      <c r="F10" s="13">
        <v>2</v>
      </c>
      <c r="G10" s="13">
        <v>0</v>
      </c>
      <c r="H10" s="13">
        <v>-2</v>
      </c>
      <c r="I10" s="13">
        <v>-1</v>
      </c>
      <c r="J10" s="13">
        <v>1</v>
      </c>
      <c r="K10" s="13">
        <v>2</v>
      </c>
      <c r="L10" s="13">
        <v>0</v>
      </c>
      <c r="M10" s="13">
        <v>-1</v>
      </c>
      <c r="N10" s="13">
        <v>-2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-3</v>
      </c>
    </row>
    <row r="11" spans="1:45" ht="23" customHeight="1">
      <c r="A11" s="13" t="s">
        <v>46</v>
      </c>
      <c r="B11" s="13" t="s">
        <v>47</v>
      </c>
      <c r="C11" s="13"/>
      <c r="D11" s="13">
        <v>0</v>
      </c>
      <c r="E11" s="13">
        <v>0</v>
      </c>
      <c r="F11" s="13">
        <v>2</v>
      </c>
      <c r="G11" s="13">
        <v>0</v>
      </c>
      <c r="H11" s="13">
        <v>-2</v>
      </c>
      <c r="I11" s="13">
        <v>0</v>
      </c>
      <c r="J11" s="13">
        <v>1</v>
      </c>
      <c r="K11" s="13">
        <v>1</v>
      </c>
      <c r="L11" s="13">
        <v>0</v>
      </c>
      <c r="M11" s="13">
        <v>0</v>
      </c>
      <c r="N11" s="13">
        <v>-1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-2</v>
      </c>
    </row>
    <row r="12" spans="1:45" ht="23" customHeight="1">
      <c r="A12" s="13" t="s">
        <v>49</v>
      </c>
      <c r="B12" s="13" t="s">
        <v>50</v>
      </c>
      <c r="C12" s="13"/>
      <c r="D12" s="13">
        <v>0</v>
      </c>
      <c r="E12" s="13">
        <v>1</v>
      </c>
      <c r="F12" s="13">
        <v>3</v>
      </c>
      <c r="G12" s="13">
        <v>0</v>
      </c>
      <c r="H12" s="13">
        <v>-2</v>
      </c>
      <c r="I12" s="13">
        <v>-1</v>
      </c>
      <c r="J12" s="13">
        <v>0</v>
      </c>
      <c r="K12" s="13">
        <v>3</v>
      </c>
      <c r="L12" s="13">
        <v>0</v>
      </c>
      <c r="M12" s="13">
        <v>-3</v>
      </c>
      <c r="N12" s="13">
        <v>-1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-5</v>
      </c>
    </row>
    <row r="13" spans="1:45" ht="23" customHeight="1">
      <c r="A13" s="13" t="s">
        <v>52</v>
      </c>
      <c r="B13" s="13" t="s">
        <v>53</v>
      </c>
      <c r="C13" s="13"/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1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</row>
    <row r="14" spans="1:45" ht="46" customHeight="1">
      <c r="A14" s="13" t="s">
        <v>54</v>
      </c>
      <c r="B14" s="13" t="s">
        <v>55</v>
      </c>
      <c r="C14" s="13" t="s">
        <v>1949</v>
      </c>
      <c r="D14" s="13">
        <v>0</v>
      </c>
      <c r="E14" s="13">
        <v>0</v>
      </c>
      <c r="F14" s="13">
        <v>1</v>
      </c>
      <c r="G14" s="13">
        <v>0</v>
      </c>
      <c r="H14" s="13">
        <v>-1</v>
      </c>
      <c r="I14" s="13">
        <v>0</v>
      </c>
      <c r="J14" s="13">
        <v>1</v>
      </c>
      <c r="K14" s="13">
        <v>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-1</v>
      </c>
    </row>
    <row r="15" spans="1:45" ht="23" customHeight="1">
      <c r="A15" s="13" t="s">
        <v>57</v>
      </c>
      <c r="B15" s="13" t="s">
        <v>58</v>
      </c>
      <c r="C15" s="13" t="s">
        <v>1950</v>
      </c>
      <c r="D15" s="13">
        <v>0</v>
      </c>
      <c r="E15" s="13">
        <v>0</v>
      </c>
      <c r="F15" s="13">
        <v>2</v>
      </c>
      <c r="G15" s="13">
        <v>0</v>
      </c>
      <c r="H15" s="13">
        <v>-2</v>
      </c>
      <c r="I15" s="13">
        <v>0</v>
      </c>
      <c r="J15" s="13">
        <v>1</v>
      </c>
      <c r="K15" s="13">
        <v>1</v>
      </c>
      <c r="L15" s="13">
        <v>0</v>
      </c>
      <c r="M15" s="13">
        <v>0</v>
      </c>
      <c r="N15" s="13">
        <v>-2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-2</v>
      </c>
    </row>
    <row r="16" spans="1:45" ht="23" customHeight="1">
      <c r="A16" s="13" t="s">
        <v>60</v>
      </c>
      <c r="B16" s="13" t="s">
        <v>61</v>
      </c>
      <c r="C16" s="13"/>
      <c r="D16" s="13">
        <v>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0</v>
      </c>
      <c r="M16" s="14">
        <v>1</v>
      </c>
      <c r="N16" s="13">
        <v>-1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4">
        <v>1</v>
      </c>
    </row>
    <row r="17" spans="1:45" ht="23" customHeight="1">
      <c r="A17" s="13" t="s">
        <v>62</v>
      </c>
      <c r="B17" s="13" t="s">
        <v>63</v>
      </c>
      <c r="C17" s="13" t="s">
        <v>1951</v>
      </c>
      <c r="D17" s="13">
        <v>4</v>
      </c>
      <c r="E17" s="13">
        <v>1</v>
      </c>
      <c r="F17" s="13">
        <v>13</v>
      </c>
      <c r="G17" s="13">
        <v>0</v>
      </c>
      <c r="H17" s="13">
        <v>-12</v>
      </c>
      <c r="I17" s="13">
        <v>-7</v>
      </c>
      <c r="J17" s="13">
        <v>1</v>
      </c>
      <c r="K17" s="13">
        <v>4</v>
      </c>
      <c r="L17" s="13">
        <v>0</v>
      </c>
      <c r="M17" s="13">
        <v>-3</v>
      </c>
      <c r="N17" s="13">
        <v>-6</v>
      </c>
      <c r="O17" s="13">
        <v>0</v>
      </c>
      <c r="P17" s="13">
        <v>1</v>
      </c>
      <c r="Q17" s="13">
        <v>0</v>
      </c>
      <c r="R17" s="13">
        <v>-1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-16</v>
      </c>
    </row>
    <row r="18" spans="1:45" ht="20" customHeight="1">
      <c r="A18" s="13" t="s">
        <v>65</v>
      </c>
      <c r="B18" s="13" t="s">
        <v>66</v>
      </c>
      <c r="C18" s="13" t="s">
        <v>1952</v>
      </c>
      <c r="D18" s="13">
        <v>0</v>
      </c>
      <c r="E18" s="13">
        <v>1</v>
      </c>
      <c r="F18" s="13">
        <v>4</v>
      </c>
      <c r="G18" s="13">
        <v>0</v>
      </c>
      <c r="H18" s="13">
        <v>-3</v>
      </c>
      <c r="I18" s="13">
        <v>-1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1</v>
      </c>
      <c r="R18" s="13">
        <v>-1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-2</v>
      </c>
    </row>
    <row r="19" spans="1:45" ht="20" customHeight="1">
      <c r="A19" s="13" t="s">
        <v>67</v>
      </c>
      <c r="B19" s="13" t="s">
        <v>68</v>
      </c>
      <c r="C19" s="13"/>
      <c r="D19" s="13">
        <v>0</v>
      </c>
      <c r="E19" s="13">
        <v>3</v>
      </c>
      <c r="F19" s="13">
        <v>3</v>
      </c>
      <c r="G19" s="13">
        <v>0</v>
      </c>
      <c r="H19" s="13">
        <v>0</v>
      </c>
      <c r="I19" s="13">
        <v>-3</v>
      </c>
      <c r="J19" s="13">
        <v>1</v>
      </c>
      <c r="K19" s="13">
        <v>1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</row>
    <row r="20" spans="1:45" ht="20" customHeight="1">
      <c r="A20" s="13" t="s">
        <v>70</v>
      </c>
      <c r="B20" s="13" t="s">
        <v>71</v>
      </c>
      <c r="C20" s="13" t="s">
        <v>1953</v>
      </c>
      <c r="D20" s="13">
        <v>0</v>
      </c>
      <c r="E20" s="13">
        <v>1</v>
      </c>
      <c r="F20" s="13">
        <v>2</v>
      </c>
      <c r="G20" s="13">
        <v>0</v>
      </c>
      <c r="H20" s="13">
        <v>-1</v>
      </c>
      <c r="I20" s="13">
        <v>-2</v>
      </c>
      <c r="J20" s="13">
        <v>1</v>
      </c>
      <c r="K20" s="13">
        <v>2</v>
      </c>
      <c r="L20" s="13">
        <v>0</v>
      </c>
      <c r="M20" s="13">
        <v>-1</v>
      </c>
      <c r="N20" s="13">
        <v>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1</v>
      </c>
      <c r="AP20" s="13">
        <v>0</v>
      </c>
      <c r="AQ20" s="13">
        <v>-1</v>
      </c>
      <c r="AR20" s="13">
        <v>0</v>
      </c>
      <c r="AS20" s="13">
        <v>-3</v>
      </c>
    </row>
    <row r="21" spans="1:45" ht="23" customHeight="1">
      <c r="A21" s="13" t="s">
        <v>73</v>
      </c>
      <c r="B21" s="13" t="s">
        <v>74</v>
      </c>
      <c r="C21" s="13"/>
      <c r="D21" s="13">
        <v>0</v>
      </c>
      <c r="E21" s="13">
        <v>1</v>
      </c>
      <c r="F21" s="13">
        <v>3</v>
      </c>
      <c r="G21" s="13">
        <v>0</v>
      </c>
      <c r="H21" s="13">
        <v>-2</v>
      </c>
      <c r="I21" s="13">
        <v>-2</v>
      </c>
      <c r="J21" s="13">
        <v>1</v>
      </c>
      <c r="K21" s="13">
        <v>2</v>
      </c>
      <c r="L21" s="13">
        <v>0</v>
      </c>
      <c r="M21" s="13">
        <v>-1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1</v>
      </c>
      <c r="AP21" s="13">
        <v>0</v>
      </c>
      <c r="AQ21" s="13">
        <v>-1</v>
      </c>
      <c r="AR21" s="13">
        <v>0</v>
      </c>
      <c r="AS21" s="13">
        <v>-3</v>
      </c>
    </row>
    <row r="22" spans="1:45" ht="20" customHeight="1">
      <c r="A22" s="13" t="s">
        <v>76</v>
      </c>
      <c r="B22" s="13" t="s">
        <v>77</v>
      </c>
      <c r="C22" s="13"/>
      <c r="D22" s="13">
        <v>15</v>
      </c>
      <c r="E22" s="13">
        <v>10</v>
      </c>
      <c r="F22" s="13">
        <v>22</v>
      </c>
      <c r="G22" s="13">
        <v>0</v>
      </c>
      <c r="H22" s="13">
        <v>-12</v>
      </c>
      <c r="I22" s="13">
        <v>-21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-12</v>
      </c>
    </row>
    <row r="23" spans="1:45" ht="23" customHeight="1">
      <c r="A23" s="13" t="s">
        <v>79</v>
      </c>
      <c r="B23" s="13" t="s">
        <v>80</v>
      </c>
      <c r="C23" s="13" t="s">
        <v>1954</v>
      </c>
      <c r="D23" s="13">
        <v>0</v>
      </c>
      <c r="E23" s="13">
        <v>2</v>
      </c>
      <c r="F23" s="13">
        <v>2</v>
      </c>
      <c r="G23" s="13">
        <v>0</v>
      </c>
      <c r="H23" s="13">
        <v>0</v>
      </c>
      <c r="I23" s="13">
        <v>-2</v>
      </c>
      <c r="J23" s="13">
        <v>2</v>
      </c>
      <c r="K23" s="13">
        <v>1</v>
      </c>
      <c r="L23" s="13">
        <v>0</v>
      </c>
      <c r="M23" s="14">
        <v>1</v>
      </c>
      <c r="N23" s="13">
        <v>-2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4">
        <v>1</v>
      </c>
    </row>
    <row r="24" spans="1:45" ht="23" customHeight="1">
      <c r="A24" s="13" t="s">
        <v>81</v>
      </c>
      <c r="B24" s="13" t="s">
        <v>82</v>
      </c>
      <c r="C24" s="13"/>
      <c r="D24" s="13">
        <v>0</v>
      </c>
      <c r="E24" s="13">
        <v>1</v>
      </c>
      <c r="F24" s="13">
        <v>2</v>
      </c>
      <c r="G24" s="13">
        <v>0</v>
      </c>
      <c r="H24" s="13">
        <v>-1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-1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-1</v>
      </c>
    </row>
    <row r="25" spans="1:45" ht="20" customHeight="1">
      <c r="A25" s="13" t="s">
        <v>83</v>
      </c>
      <c r="B25" s="13" t="s">
        <v>84</v>
      </c>
      <c r="C25" s="13"/>
      <c r="D25" s="13">
        <v>0</v>
      </c>
      <c r="E25" s="13">
        <v>1</v>
      </c>
      <c r="F25" s="13">
        <v>3</v>
      </c>
      <c r="G25" s="13">
        <v>0</v>
      </c>
      <c r="H25" s="13">
        <v>-2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</row>
    <row r="26" spans="1:45" ht="23" customHeight="1">
      <c r="A26" s="13" t="s">
        <v>86</v>
      </c>
      <c r="B26" s="13" t="s">
        <v>87</v>
      </c>
      <c r="C26" s="13"/>
      <c r="D26" s="13">
        <v>0</v>
      </c>
      <c r="E26" s="13">
        <v>1</v>
      </c>
      <c r="F26" s="13">
        <v>1</v>
      </c>
      <c r="G26" s="13">
        <v>0</v>
      </c>
      <c r="H26" s="13">
        <v>0</v>
      </c>
      <c r="I26" s="13">
        <v>-3</v>
      </c>
      <c r="J26" s="13">
        <v>1</v>
      </c>
      <c r="K26" s="13">
        <v>1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-1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</row>
    <row r="27" spans="1:45" ht="23" customHeight="1">
      <c r="A27" s="13" t="s">
        <v>89</v>
      </c>
      <c r="B27" s="13" t="s">
        <v>90</v>
      </c>
      <c r="C27" s="13" t="s">
        <v>1955</v>
      </c>
      <c r="D27" s="13">
        <v>0</v>
      </c>
      <c r="E27" s="13">
        <v>0</v>
      </c>
      <c r="F27" s="13">
        <v>2</v>
      </c>
      <c r="G27" s="13">
        <v>0</v>
      </c>
      <c r="H27" s="13">
        <v>-2</v>
      </c>
      <c r="I27" s="13">
        <v>-50</v>
      </c>
      <c r="J27" s="13">
        <v>1</v>
      </c>
      <c r="K27" s="13">
        <v>4</v>
      </c>
      <c r="L27" s="13">
        <v>0</v>
      </c>
      <c r="M27" s="13">
        <v>-3</v>
      </c>
      <c r="N27" s="13">
        <v>-14</v>
      </c>
      <c r="O27" s="13">
        <v>0</v>
      </c>
      <c r="P27" s="13">
        <v>0</v>
      </c>
      <c r="Q27" s="13">
        <v>0</v>
      </c>
      <c r="R27" s="13">
        <v>0</v>
      </c>
      <c r="S27" s="13">
        <v>-1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-3</v>
      </c>
    </row>
    <row r="28" spans="1:45" ht="23" customHeight="1">
      <c r="A28" s="13" t="s">
        <v>93</v>
      </c>
      <c r="B28" s="13" t="s">
        <v>94</v>
      </c>
      <c r="C28" s="13"/>
      <c r="D28" s="13">
        <v>0</v>
      </c>
      <c r="E28" s="13">
        <v>1</v>
      </c>
      <c r="F28" s="13">
        <v>3</v>
      </c>
      <c r="G28" s="13">
        <v>0</v>
      </c>
      <c r="H28" s="13">
        <v>-2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-1</v>
      </c>
    </row>
    <row r="29" spans="1:45" ht="20" customHeight="1">
      <c r="A29" s="13" t="s">
        <v>95</v>
      </c>
      <c r="B29" s="13" t="s">
        <v>84</v>
      </c>
      <c r="C29" s="13"/>
      <c r="D29" s="13">
        <v>0</v>
      </c>
      <c r="E29" s="13">
        <v>1</v>
      </c>
      <c r="F29" s="13">
        <v>3</v>
      </c>
      <c r="G29" s="13">
        <v>0</v>
      </c>
      <c r="H29" s="13">
        <v>-2</v>
      </c>
      <c r="I29" s="13">
        <v>0</v>
      </c>
      <c r="J29" s="13">
        <v>1</v>
      </c>
      <c r="K29" s="13">
        <v>1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</row>
    <row r="30" spans="1:45" ht="23" customHeight="1">
      <c r="A30" s="13" t="s">
        <v>97</v>
      </c>
      <c r="B30" s="13" t="s">
        <v>98</v>
      </c>
      <c r="C30" s="13" t="s">
        <v>1956</v>
      </c>
      <c r="D30" s="13">
        <v>1</v>
      </c>
      <c r="E30" s="13">
        <v>1</v>
      </c>
      <c r="F30" s="13">
        <v>1</v>
      </c>
      <c r="G30" s="13">
        <v>0</v>
      </c>
      <c r="H30" s="13">
        <v>0</v>
      </c>
      <c r="I30" s="13">
        <v>-1</v>
      </c>
      <c r="J30" s="13">
        <v>1</v>
      </c>
      <c r="K30" s="13">
        <v>1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</row>
    <row r="31" spans="1:45" ht="23" customHeight="1">
      <c r="A31" s="13" t="s">
        <v>100</v>
      </c>
      <c r="B31" s="13" t="s">
        <v>101</v>
      </c>
      <c r="C31" s="13" t="s">
        <v>1957</v>
      </c>
      <c r="D31" s="13">
        <v>0</v>
      </c>
      <c r="E31" s="13">
        <v>2</v>
      </c>
      <c r="F31" s="13">
        <v>4</v>
      </c>
      <c r="G31" s="13">
        <v>0</v>
      </c>
      <c r="H31" s="13">
        <v>-2</v>
      </c>
      <c r="I31" s="13">
        <v>-5</v>
      </c>
      <c r="J31" s="13">
        <v>2</v>
      </c>
      <c r="K31" s="13">
        <v>2</v>
      </c>
      <c r="L31" s="13">
        <v>0</v>
      </c>
      <c r="M31" s="13">
        <v>0</v>
      </c>
      <c r="N31" s="13">
        <v>-5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-2</v>
      </c>
    </row>
    <row r="32" spans="1:45" ht="23" customHeight="1">
      <c r="A32" s="13" t="s">
        <v>103</v>
      </c>
      <c r="B32" s="13" t="s">
        <v>104</v>
      </c>
      <c r="C32" s="13" t="s">
        <v>1958</v>
      </c>
      <c r="D32" s="13">
        <v>0</v>
      </c>
      <c r="E32" s="13">
        <v>0</v>
      </c>
      <c r="F32" s="13">
        <v>1</v>
      </c>
      <c r="G32" s="13">
        <v>0</v>
      </c>
      <c r="H32" s="13">
        <v>-1</v>
      </c>
      <c r="I32" s="13">
        <v>-1</v>
      </c>
      <c r="J32" s="13">
        <v>1</v>
      </c>
      <c r="K32" s="13">
        <v>1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-1</v>
      </c>
    </row>
    <row r="33" spans="1:45" ht="20" customHeight="1">
      <c r="A33" s="13" t="s">
        <v>106</v>
      </c>
      <c r="B33" s="13" t="s">
        <v>107</v>
      </c>
      <c r="C33" s="13" t="s">
        <v>1959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-1</v>
      </c>
      <c r="J33" s="13">
        <v>1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</row>
    <row r="34" spans="1:45" ht="20" customHeight="1">
      <c r="A34" s="13" t="s">
        <v>108</v>
      </c>
      <c r="B34" s="13" t="s">
        <v>109</v>
      </c>
      <c r="C34" s="13" t="s">
        <v>1960</v>
      </c>
      <c r="D34" s="13">
        <v>0</v>
      </c>
      <c r="E34" s="13">
        <v>1</v>
      </c>
      <c r="F34" s="13">
        <v>4</v>
      </c>
      <c r="G34" s="13">
        <v>0</v>
      </c>
      <c r="H34" s="13">
        <v>-3</v>
      </c>
      <c r="I34" s="13">
        <v>-4</v>
      </c>
      <c r="J34" s="13">
        <v>1</v>
      </c>
      <c r="K34" s="13">
        <v>1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-3</v>
      </c>
    </row>
    <row r="35" spans="1:45" ht="34" customHeight="1">
      <c r="A35" s="13" t="s">
        <v>111</v>
      </c>
      <c r="B35" s="13" t="s">
        <v>112</v>
      </c>
      <c r="C35" s="13" t="s">
        <v>1961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1</v>
      </c>
      <c r="K35" s="13">
        <v>2</v>
      </c>
      <c r="L35" s="13">
        <v>0</v>
      </c>
      <c r="M35" s="13">
        <v>-1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-1</v>
      </c>
    </row>
    <row r="36" spans="1:45" ht="23" customHeight="1">
      <c r="A36" s="13" t="s">
        <v>113</v>
      </c>
      <c r="B36" s="13" t="s">
        <v>114</v>
      </c>
      <c r="C36" s="13" t="s">
        <v>1962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-1</v>
      </c>
      <c r="J36" s="13">
        <v>1</v>
      </c>
      <c r="K36" s="13">
        <v>1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</row>
    <row r="37" spans="1:45" ht="46" customHeight="1">
      <c r="A37" s="13" t="s">
        <v>116</v>
      </c>
      <c r="B37" s="13" t="s">
        <v>117</v>
      </c>
      <c r="C37" s="13" t="s">
        <v>1963</v>
      </c>
      <c r="D37" s="13">
        <v>0</v>
      </c>
      <c r="E37" s="13">
        <v>0</v>
      </c>
      <c r="F37" s="13">
        <v>1</v>
      </c>
      <c r="G37" s="13">
        <v>0</v>
      </c>
      <c r="H37" s="13">
        <v>-1</v>
      </c>
      <c r="I37" s="13">
        <v>0</v>
      </c>
      <c r="J37" s="13">
        <v>1</v>
      </c>
      <c r="K37" s="13">
        <v>1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</row>
    <row r="38" spans="1:45" ht="23" customHeight="1">
      <c r="A38" s="13" t="s">
        <v>119</v>
      </c>
      <c r="B38" s="13" t="s">
        <v>120</v>
      </c>
      <c r="C38" s="13" t="s">
        <v>1964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1</v>
      </c>
      <c r="K38" s="13">
        <v>1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</row>
    <row r="39" spans="1:45" ht="34" customHeight="1">
      <c r="A39" s="13" t="s">
        <v>122</v>
      </c>
      <c r="B39" s="13" t="s">
        <v>123</v>
      </c>
      <c r="C39" s="13" t="s">
        <v>1965</v>
      </c>
      <c r="D39" s="13">
        <v>0</v>
      </c>
      <c r="E39" s="13">
        <v>1</v>
      </c>
      <c r="F39" s="13">
        <v>3</v>
      </c>
      <c r="G39" s="13">
        <v>0</v>
      </c>
      <c r="H39" s="13">
        <v>-2</v>
      </c>
      <c r="I39" s="13">
        <v>0</v>
      </c>
      <c r="J39" s="13">
        <v>1</v>
      </c>
      <c r="K39" s="13">
        <v>1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</row>
    <row r="40" spans="1:45" ht="34" customHeight="1">
      <c r="A40" s="13" t="s">
        <v>125</v>
      </c>
      <c r="B40" s="13" t="s">
        <v>126</v>
      </c>
      <c r="C40" s="13" t="s">
        <v>1966</v>
      </c>
      <c r="D40" s="13">
        <v>0</v>
      </c>
      <c r="E40" s="13">
        <v>1</v>
      </c>
      <c r="F40" s="13">
        <v>5</v>
      </c>
      <c r="G40" s="13">
        <v>0</v>
      </c>
      <c r="H40" s="13">
        <v>-4</v>
      </c>
      <c r="I40" s="13">
        <v>0</v>
      </c>
      <c r="J40" s="13">
        <v>1</v>
      </c>
      <c r="K40" s="13">
        <v>1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</row>
    <row r="41" spans="1:45" ht="23" customHeight="1">
      <c r="A41" s="13" t="s">
        <v>128</v>
      </c>
      <c r="B41" s="13" t="s">
        <v>129</v>
      </c>
      <c r="C41" s="13" t="s">
        <v>1967</v>
      </c>
      <c r="D41" s="13">
        <v>0</v>
      </c>
      <c r="E41" s="13">
        <v>0</v>
      </c>
      <c r="F41" s="13">
        <v>1</v>
      </c>
      <c r="G41" s="13">
        <v>0</v>
      </c>
      <c r="H41" s="13">
        <v>-1</v>
      </c>
      <c r="I41" s="13">
        <v>-1</v>
      </c>
      <c r="J41" s="13">
        <v>1</v>
      </c>
      <c r="K41" s="13">
        <v>1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1</v>
      </c>
      <c r="AP41" s="13">
        <v>0</v>
      </c>
      <c r="AQ41" s="13">
        <v>-1</v>
      </c>
      <c r="AR41" s="13">
        <v>0</v>
      </c>
      <c r="AS41" s="13">
        <v>-2</v>
      </c>
    </row>
    <row r="42" spans="1:45" ht="23" customHeight="1">
      <c r="A42" s="13" t="s">
        <v>130</v>
      </c>
      <c r="B42" s="13" t="s">
        <v>131</v>
      </c>
      <c r="C42" s="13" t="s">
        <v>1968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1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</row>
    <row r="43" spans="1:45" ht="34" customHeight="1">
      <c r="A43" s="13" t="s">
        <v>133</v>
      </c>
      <c r="B43" s="13" t="s">
        <v>134</v>
      </c>
      <c r="C43" s="13" t="s">
        <v>1969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1</v>
      </c>
      <c r="K43" s="13">
        <v>1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</row>
    <row r="44" spans="1:45" ht="23" customHeight="1">
      <c r="A44" s="13" t="s">
        <v>135</v>
      </c>
      <c r="B44" s="13" t="s">
        <v>136</v>
      </c>
      <c r="C44" s="13" t="s">
        <v>1970</v>
      </c>
      <c r="D44" s="13">
        <v>0</v>
      </c>
      <c r="E44" s="13">
        <v>0</v>
      </c>
      <c r="F44" s="13">
        <v>1</v>
      </c>
      <c r="G44" s="13">
        <v>0</v>
      </c>
      <c r="H44" s="13">
        <v>-1</v>
      </c>
      <c r="I44" s="13">
        <v>-2</v>
      </c>
      <c r="J44" s="13">
        <v>1</v>
      </c>
      <c r="K44" s="13">
        <v>1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-1</v>
      </c>
    </row>
    <row r="45" spans="1:45" ht="20" customHeight="1">
      <c r="A45" s="13" t="s">
        <v>137</v>
      </c>
      <c r="B45" s="13" t="s">
        <v>138</v>
      </c>
      <c r="C45" s="13" t="s">
        <v>1971</v>
      </c>
      <c r="D45" s="13">
        <v>0</v>
      </c>
      <c r="E45" s="13">
        <v>1</v>
      </c>
      <c r="F45" s="13">
        <v>1</v>
      </c>
      <c r="G45" s="13">
        <v>0</v>
      </c>
      <c r="H45" s="13">
        <v>0</v>
      </c>
      <c r="I45" s="13">
        <v>-1</v>
      </c>
      <c r="J45" s="13">
        <v>1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</row>
    <row r="46" spans="1:45" ht="23" customHeight="1">
      <c r="A46" s="13" t="s">
        <v>139</v>
      </c>
      <c r="B46" s="13" t="s">
        <v>140</v>
      </c>
      <c r="C46" s="13" t="s">
        <v>1972</v>
      </c>
      <c r="D46" s="13">
        <v>1</v>
      </c>
      <c r="E46" s="13">
        <v>1</v>
      </c>
      <c r="F46" s="13">
        <v>1</v>
      </c>
      <c r="G46" s="13">
        <v>0</v>
      </c>
      <c r="H46" s="13">
        <v>0</v>
      </c>
      <c r="I46" s="13">
        <v>-1</v>
      </c>
      <c r="J46" s="13">
        <v>1</v>
      </c>
      <c r="K46" s="13">
        <v>1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</row>
    <row r="47" spans="1:45" ht="20" customHeight="1">
      <c r="A47" s="13" t="s">
        <v>141</v>
      </c>
      <c r="B47" s="13" t="s">
        <v>21</v>
      </c>
      <c r="C47" s="13"/>
      <c r="D47" s="13">
        <v>0</v>
      </c>
      <c r="E47" s="13">
        <v>1</v>
      </c>
      <c r="F47" s="13">
        <v>1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-1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</row>
    <row r="48" spans="1:45" ht="23" customHeight="1">
      <c r="A48" s="13" t="s">
        <v>143</v>
      </c>
      <c r="B48" s="13" t="s">
        <v>144</v>
      </c>
      <c r="C48" s="13"/>
      <c r="D48" s="13">
        <v>2</v>
      </c>
      <c r="E48" s="13">
        <v>1</v>
      </c>
      <c r="F48" s="13">
        <v>1</v>
      </c>
      <c r="G48" s="13">
        <v>0</v>
      </c>
      <c r="H48" s="13">
        <v>0</v>
      </c>
      <c r="I48" s="13">
        <v>0</v>
      </c>
      <c r="J48" s="13">
        <v>0</v>
      </c>
      <c r="K48" s="13">
        <v>1</v>
      </c>
      <c r="L48" s="13">
        <v>0</v>
      </c>
      <c r="M48" s="13">
        <v>-1</v>
      </c>
      <c r="N48" s="13">
        <v>-1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-1</v>
      </c>
    </row>
    <row r="49" spans="1:45" ht="23" customHeight="1">
      <c r="A49" s="13" t="s">
        <v>148</v>
      </c>
      <c r="B49" s="13" t="s">
        <v>149</v>
      </c>
      <c r="C49" s="13"/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-1</v>
      </c>
      <c r="J49" s="13">
        <v>1</v>
      </c>
      <c r="K49" s="13">
        <v>1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</row>
    <row r="50" spans="1:45" ht="23" customHeight="1">
      <c r="A50" s="13" t="s">
        <v>150</v>
      </c>
      <c r="B50" s="13" t="s">
        <v>151</v>
      </c>
      <c r="C50" s="13"/>
      <c r="D50" s="13">
        <v>0</v>
      </c>
      <c r="E50" s="13">
        <v>0</v>
      </c>
      <c r="F50" s="13">
        <v>1</v>
      </c>
      <c r="G50" s="13">
        <v>0</v>
      </c>
      <c r="H50" s="13">
        <v>-1</v>
      </c>
      <c r="I50" s="13">
        <v>0</v>
      </c>
      <c r="J50" s="13">
        <v>1</v>
      </c>
      <c r="K50" s="13">
        <v>1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-1</v>
      </c>
    </row>
    <row r="51" spans="1:45" ht="23" customHeight="1">
      <c r="A51" s="13" t="s">
        <v>153</v>
      </c>
      <c r="B51" s="13" t="s">
        <v>154</v>
      </c>
      <c r="C51" s="13" t="s">
        <v>1973</v>
      </c>
      <c r="D51" s="13">
        <v>2</v>
      </c>
      <c r="E51" s="13">
        <v>1</v>
      </c>
      <c r="F51" s="13">
        <v>3</v>
      </c>
      <c r="G51" s="13">
        <v>0</v>
      </c>
      <c r="H51" s="13">
        <v>-2</v>
      </c>
      <c r="I51" s="13">
        <v>-9</v>
      </c>
      <c r="J51" s="13">
        <v>0</v>
      </c>
      <c r="K51" s="13">
        <v>1</v>
      </c>
      <c r="L51" s="13">
        <v>0</v>
      </c>
      <c r="M51" s="13">
        <v>-1</v>
      </c>
      <c r="N51" s="13">
        <v>-2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-3</v>
      </c>
    </row>
    <row r="52" spans="1:45" ht="23" customHeight="1">
      <c r="A52" s="13" t="s">
        <v>156</v>
      </c>
      <c r="B52" s="13" t="s">
        <v>157</v>
      </c>
      <c r="C52" s="13" t="s">
        <v>1974</v>
      </c>
      <c r="D52" s="13">
        <v>1</v>
      </c>
      <c r="E52" s="13">
        <v>1</v>
      </c>
      <c r="F52" s="13">
        <v>3</v>
      </c>
      <c r="G52" s="13">
        <v>0</v>
      </c>
      <c r="H52" s="13">
        <v>-2</v>
      </c>
      <c r="I52" s="13">
        <v>0</v>
      </c>
      <c r="J52" s="13">
        <v>1</v>
      </c>
      <c r="K52" s="13">
        <v>1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-1</v>
      </c>
    </row>
    <row r="53" spans="1:45" ht="46" customHeight="1">
      <c r="A53" s="13" t="s">
        <v>158</v>
      </c>
      <c r="B53" s="13" t="s">
        <v>159</v>
      </c>
      <c r="C53" s="13" t="s">
        <v>1975</v>
      </c>
      <c r="D53" s="13">
        <v>0</v>
      </c>
      <c r="E53" s="13">
        <v>2</v>
      </c>
      <c r="F53" s="13">
        <v>2</v>
      </c>
      <c r="G53" s="13">
        <v>0</v>
      </c>
      <c r="H53" s="13">
        <v>0</v>
      </c>
      <c r="I53" s="13">
        <v>0</v>
      </c>
      <c r="J53" s="13">
        <v>2</v>
      </c>
      <c r="K53" s="13">
        <v>8</v>
      </c>
      <c r="L53" s="13">
        <v>0</v>
      </c>
      <c r="M53" s="13">
        <v>-6</v>
      </c>
      <c r="N53" s="13">
        <v>-17</v>
      </c>
      <c r="O53" s="13">
        <v>0</v>
      </c>
      <c r="P53" s="13">
        <v>0</v>
      </c>
      <c r="Q53" s="13">
        <v>0</v>
      </c>
      <c r="R53" s="13">
        <v>0</v>
      </c>
      <c r="S53" s="13">
        <v>-2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1</v>
      </c>
      <c r="AP53" s="13">
        <v>0</v>
      </c>
      <c r="AQ53" s="13">
        <v>-1</v>
      </c>
      <c r="AR53" s="13">
        <v>-1</v>
      </c>
      <c r="AS53" s="13">
        <v>-7</v>
      </c>
    </row>
    <row r="54" spans="1:45" ht="23" customHeight="1">
      <c r="A54" s="13" t="s">
        <v>161</v>
      </c>
      <c r="B54" s="13" t="s">
        <v>162</v>
      </c>
      <c r="C54" s="13" t="s">
        <v>1976</v>
      </c>
      <c r="D54" s="13">
        <v>0</v>
      </c>
      <c r="E54" s="13">
        <v>1</v>
      </c>
      <c r="F54" s="13">
        <v>1</v>
      </c>
      <c r="G54" s="13">
        <v>0</v>
      </c>
      <c r="H54" s="13">
        <v>0</v>
      </c>
      <c r="I54" s="13">
        <v>-1</v>
      </c>
      <c r="J54" s="13">
        <v>0</v>
      </c>
      <c r="K54" s="13">
        <v>1</v>
      </c>
      <c r="L54" s="13">
        <v>0</v>
      </c>
      <c r="M54" s="13">
        <v>-1</v>
      </c>
      <c r="N54" s="13">
        <v>-1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-1</v>
      </c>
    </row>
    <row r="55" spans="1:45" ht="23" customHeight="1">
      <c r="A55" s="13" t="s">
        <v>163</v>
      </c>
      <c r="B55" s="13" t="s">
        <v>164</v>
      </c>
      <c r="C55" s="13"/>
      <c r="D55" s="13">
        <v>0</v>
      </c>
      <c r="E55" s="13">
        <v>1</v>
      </c>
      <c r="F55" s="13">
        <v>2</v>
      </c>
      <c r="G55" s="13">
        <v>0</v>
      </c>
      <c r="H55" s="13">
        <v>-1</v>
      </c>
      <c r="I55" s="13">
        <v>-1</v>
      </c>
      <c r="J55" s="13">
        <v>0</v>
      </c>
      <c r="K55" s="13">
        <v>1</v>
      </c>
      <c r="L55" s="13">
        <v>0</v>
      </c>
      <c r="M55" s="13">
        <v>-1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-1</v>
      </c>
    </row>
    <row r="56" spans="1:45" ht="34" customHeight="1">
      <c r="A56" s="13" t="s">
        <v>165</v>
      </c>
      <c r="B56" s="13" t="s">
        <v>166</v>
      </c>
      <c r="C56" s="13"/>
      <c r="D56" s="13">
        <v>0</v>
      </c>
      <c r="E56" s="13">
        <v>1</v>
      </c>
      <c r="F56" s="13">
        <v>1</v>
      </c>
      <c r="G56" s="13">
        <v>0</v>
      </c>
      <c r="H56" s="13">
        <v>0</v>
      </c>
      <c r="I56" s="13">
        <v>-1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</row>
    <row r="57" spans="1:45" ht="23" customHeight="1">
      <c r="A57" s="13" t="s">
        <v>167</v>
      </c>
      <c r="B57" s="13" t="s">
        <v>168</v>
      </c>
      <c r="C57" s="13" t="s">
        <v>1977</v>
      </c>
      <c r="D57" s="13">
        <v>0</v>
      </c>
      <c r="E57" s="13">
        <v>1</v>
      </c>
      <c r="F57" s="13">
        <v>4</v>
      </c>
      <c r="G57" s="13">
        <v>0</v>
      </c>
      <c r="H57" s="13">
        <v>-3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-1</v>
      </c>
    </row>
    <row r="58" spans="1:45" ht="23" customHeight="1">
      <c r="A58" s="13" t="s">
        <v>169</v>
      </c>
      <c r="B58" s="13" t="s">
        <v>170</v>
      </c>
      <c r="C58" s="13" t="s">
        <v>172</v>
      </c>
      <c r="D58" s="13">
        <v>0</v>
      </c>
      <c r="E58" s="13">
        <v>1</v>
      </c>
      <c r="F58" s="13">
        <v>9</v>
      </c>
      <c r="G58" s="13">
        <v>0</v>
      </c>
      <c r="H58" s="13">
        <v>-8</v>
      </c>
      <c r="I58" s="13">
        <v>-6</v>
      </c>
      <c r="J58" s="13">
        <v>1</v>
      </c>
      <c r="K58" s="13">
        <v>2</v>
      </c>
      <c r="L58" s="13">
        <v>0</v>
      </c>
      <c r="M58" s="13">
        <v>-1</v>
      </c>
      <c r="N58" s="13">
        <v>-1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-9</v>
      </c>
    </row>
    <row r="59" spans="1:45" ht="23" customHeight="1">
      <c r="A59" s="13" t="s">
        <v>172</v>
      </c>
      <c r="B59" s="13" t="s">
        <v>170</v>
      </c>
      <c r="C59" s="13"/>
      <c r="D59" s="13">
        <v>0</v>
      </c>
      <c r="E59" s="13">
        <v>1</v>
      </c>
      <c r="F59" s="13">
        <v>5</v>
      </c>
      <c r="G59" s="13">
        <v>0</v>
      </c>
      <c r="H59" s="13">
        <v>-4</v>
      </c>
      <c r="I59" s="13">
        <v>-3</v>
      </c>
      <c r="J59" s="13">
        <v>1</v>
      </c>
      <c r="K59" s="13">
        <v>2</v>
      </c>
      <c r="L59" s="13">
        <v>0</v>
      </c>
      <c r="M59" s="13">
        <v>-1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-5</v>
      </c>
    </row>
    <row r="60" spans="1:45" ht="23" customHeight="1">
      <c r="A60" s="13" t="s">
        <v>173</v>
      </c>
      <c r="B60" s="13" t="s">
        <v>174</v>
      </c>
      <c r="C60" s="13"/>
      <c r="D60" s="13">
        <v>0</v>
      </c>
      <c r="E60" s="13">
        <v>1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</row>
    <row r="61" spans="1:45" ht="34" customHeight="1">
      <c r="A61" s="13" t="s">
        <v>175</v>
      </c>
      <c r="B61" s="13" t="s">
        <v>176</v>
      </c>
      <c r="C61" s="13"/>
      <c r="D61" s="13">
        <v>0</v>
      </c>
      <c r="E61" s="13">
        <v>1</v>
      </c>
      <c r="F61" s="13">
        <v>1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</row>
    <row r="62" spans="1:45" ht="23" customHeight="1">
      <c r="A62" s="13" t="s">
        <v>177</v>
      </c>
      <c r="B62" s="13" t="s">
        <v>178</v>
      </c>
      <c r="C62" s="13"/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1</v>
      </c>
      <c r="K62" s="13">
        <v>1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</row>
    <row r="63" spans="1:45" ht="34" customHeight="1">
      <c r="A63" s="13" t="s">
        <v>180</v>
      </c>
      <c r="B63" s="13" t="s">
        <v>181</v>
      </c>
      <c r="C63" s="13"/>
      <c r="D63" s="13">
        <v>0</v>
      </c>
      <c r="E63" s="13">
        <v>1</v>
      </c>
      <c r="F63" s="13">
        <v>1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</row>
    <row r="64" spans="1:45" ht="34" customHeight="1">
      <c r="A64" s="13" t="s">
        <v>182</v>
      </c>
      <c r="B64" s="13" t="s">
        <v>183</v>
      </c>
      <c r="C64" s="13"/>
      <c r="D64" s="13">
        <v>0</v>
      </c>
      <c r="E64" s="13">
        <v>0</v>
      </c>
      <c r="F64" s="13">
        <v>2</v>
      </c>
      <c r="G64" s="13">
        <v>0</v>
      </c>
      <c r="H64" s="13">
        <v>-2</v>
      </c>
      <c r="I64" s="13">
        <v>0</v>
      </c>
      <c r="J64" s="13">
        <v>1</v>
      </c>
      <c r="K64" s="13">
        <v>1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-1</v>
      </c>
    </row>
    <row r="65" spans="1:45" ht="23" customHeight="1">
      <c r="A65" s="13" t="s">
        <v>184</v>
      </c>
      <c r="B65" s="13" t="s">
        <v>185</v>
      </c>
      <c r="C65" s="13" t="s">
        <v>1978</v>
      </c>
      <c r="D65" s="13">
        <v>0</v>
      </c>
      <c r="E65" s="13">
        <v>1</v>
      </c>
      <c r="F65" s="13">
        <v>3</v>
      </c>
      <c r="G65" s="13">
        <v>0</v>
      </c>
      <c r="H65" s="13">
        <v>-2</v>
      </c>
      <c r="I65" s="13">
        <v>-3</v>
      </c>
      <c r="J65" s="13">
        <v>1</v>
      </c>
      <c r="K65" s="13">
        <v>1</v>
      </c>
      <c r="L65" s="13">
        <v>0</v>
      </c>
      <c r="M65" s="13">
        <v>0</v>
      </c>
      <c r="N65" s="13">
        <v>-1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</row>
    <row r="66" spans="1:45" ht="46" customHeight="1">
      <c r="A66" s="13" t="s">
        <v>187</v>
      </c>
      <c r="B66" s="13" t="s">
        <v>188</v>
      </c>
      <c r="C66" s="13" t="s">
        <v>1979</v>
      </c>
      <c r="D66" s="13">
        <v>0</v>
      </c>
      <c r="E66" s="13">
        <v>2</v>
      </c>
      <c r="F66" s="13">
        <v>13</v>
      </c>
      <c r="G66" s="13">
        <v>0</v>
      </c>
      <c r="H66" s="13">
        <v>-11</v>
      </c>
      <c r="I66" s="13">
        <v>-20</v>
      </c>
      <c r="J66" s="13">
        <v>2</v>
      </c>
      <c r="K66" s="13">
        <v>8</v>
      </c>
      <c r="L66" s="13">
        <v>0</v>
      </c>
      <c r="M66" s="13">
        <v>-6</v>
      </c>
      <c r="N66" s="13">
        <v>-15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-16</v>
      </c>
    </row>
    <row r="67" spans="1:45" ht="69" customHeight="1">
      <c r="A67" s="13" t="s">
        <v>189</v>
      </c>
      <c r="B67" s="13" t="s">
        <v>190</v>
      </c>
      <c r="C67" s="13" t="s">
        <v>1980</v>
      </c>
      <c r="D67" s="13">
        <v>0</v>
      </c>
      <c r="E67" s="13">
        <v>1</v>
      </c>
      <c r="F67" s="13">
        <v>2</v>
      </c>
      <c r="G67" s="13">
        <v>0</v>
      </c>
      <c r="H67" s="13">
        <v>-1</v>
      </c>
      <c r="I67" s="13">
        <v>-1</v>
      </c>
      <c r="J67" s="13">
        <v>1</v>
      </c>
      <c r="K67" s="13">
        <v>1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-1</v>
      </c>
    </row>
    <row r="68" spans="1:45" ht="34" customHeight="1">
      <c r="A68" s="13" t="s">
        <v>192</v>
      </c>
      <c r="B68" s="13" t="s">
        <v>193</v>
      </c>
      <c r="C68" s="13"/>
      <c r="D68" s="13">
        <v>73</v>
      </c>
      <c r="E68" s="13">
        <v>1</v>
      </c>
      <c r="F68" s="13">
        <v>1</v>
      </c>
      <c r="G68" s="13">
        <v>0</v>
      </c>
      <c r="H68" s="13">
        <v>0</v>
      </c>
      <c r="I68" s="13">
        <v>-2</v>
      </c>
      <c r="J68" s="13">
        <v>2</v>
      </c>
      <c r="K68" s="13">
        <v>2</v>
      </c>
      <c r="L68" s="13">
        <v>0</v>
      </c>
      <c r="M68" s="13">
        <v>0</v>
      </c>
      <c r="N68" s="13">
        <v>-11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</row>
    <row r="69" spans="1:45" ht="20" customHeight="1">
      <c r="A69" s="13" t="s">
        <v>195</v>
      </c>
      <c r="B69" s="13" t="s">
        <v>196</v>
      </c>
      <c r="C69" s="13"/>
      <c r="D69" s="13">
        <v>0</v>
      </c>
      <c r="E69" s="13">
        <v>1</v>
      </c>
      <c r="F69" s="13">
        <v>2</v>
      </c>
      <c r="G69" s="13">
        <v>0</v>
      </c>
      <c r="H69" s="13">
        <v>-1</v>
      </c>
      <c r="I69" s="13">
        <v>0</v>
      </c>
      <c r="J69" s="13">
        <v>1</v>
      </c>
      <c r="K69" s="13">
        <v>1</v>
      </c>
      <c r="L69" s="13">
        <v>0</v>
      </c>
      <c r="M69" s="13">
        <v>0</v>
      </c>
      <c r="N69" s="13">
        <v>-1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-1</v>
      </c>
    </row>
    <row r="70" spans="1:45" ht="23" customHeight="1">
      <c r="A70" s="13" t="s">
        <v>198</v>
      </c>
      <c r="B70" s="13" t="s">
        <v>199</v>
      </c>
      <c r="C70" s="13" t="s">
        <v>1981</v>
      </c>
      <c r="D70" s="13">
        <v>0</v>
      </c>
      <c r="E70" s="13">
        <v>1</v>
      </c>
      <c r="F70" s="13">
        <v>1</v>
      </c>
      <c r="G70" s="13">
        <v>0</v>
      </c>
      <c r="H70" s="13">
        <v>0</v>
      </c>
      <c r="I70" s="13">
        <v>0</v>
      </c>
      <c r="J70" s="13">
        <v>1</v>
      </c>
      <c r="K70" s="13">
        <v>1</v>
      </c>
      <c r="L70" s="13">
        <v>0</v>
      </c>
      <c r="M70" s="13">
        <v>0</v>
      </c>
      <c r="N70" s="13">
        <v>-1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</row>
    <row r="71" spans="1:45" ht="23" customHeight="1">
      <c r="A71" s="13" t="s">
        <v>201</v>
      </c>
      <c r="B71" s="13" t="s">
        <v>202</v>
      </c>
      <c r="C71" s="13" t="s">
        <v>1982</v>
      </c>
      <c r="D71" s="13">
        <v>0</v>
      </c>
      <c r="E71" s="13">
        <v>1</v>
      </c>
      <c r="F71" s="13">
        <v>6</v>
      </c>
      <c r="G71" s="13">
        <v>0</v>
      </c>
      <c r="H71" s="13">
        <v>-5</v>
      </c>
      <c r="I71" s="13">
        <v>0</v>
      </c>
      <c r="J71" s="13">
        <v>0</v>
      </c>
      <c r="K71" s="13">
        <v>1</v>
      </c>
      <c r="L71" s="13">
        <v>0</v>
      </c>
      <c r="M71" s="13">
        <v>-1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-6</v>
      </c>
    </row>
    <row r="72" spans="1:45" ht="23" customHeight="1">
      <c r="A72" s="13" t="s">
        <v>203</v>
      </c>
      <c r="B72" s="13" t="s">
        <v>204</v>
      </c>
      <c r="C72" s="13" t="s">
        <v>1983</v>
      </c>
      <c r="D72" s="13">
        <v>0</v>
      </c>
      <c r="E72" s="13">
        <v>2</v>
      </c>
      <c r="F72" s="13">
        <v>8</v>
      </c>
      <c r="G72" s="13">
        <v>0</v>
      </c>
      <c r="H72" s="13">
        <v>-6</v>
      </c>
      <c r="I72" s="13">
        <v>-1</v>
      </c>
      <c r="J72" s="13">
        <v>3</v>
      </c>
      <c r="K72" s="13">
        <v>4</v>
      </c>
      <c r="L72" s="13">
        <v>0</v>
      </c>
      <c r="M72" s="13">
        <v>-1</v>
      </c>
      <c r="N72" s="13">
        <v>-7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-7</v>
      </c>
    </row>
    <row r="73" spans="1:45" ht="34" customHeight="1">
      <c r="A73" s="13" t="s">
        <v>205</v>
      </c>
      <c r="B73" s="13" t="s">
        <v>206</v>
      </c>
      <c r="C73" s="13" t="s">
        <v>1984</v>
      </c>
      <c r="D73" s="13">
        <v>0</v>
      </c>
      <c r="E73" s="13">
        <v>1</v>
      </c>
      <c r="F73" s="13">
        <v>1</v>
      </c>
      <c r="G73" s="13">
        <v>0</v>
      </c>
      <c r="H73" s="13">
        <v>0</v>
      </c>
      <c r="I73" s="13">
        <v>0</v>
      </c>
      <c r="J73" s="13">
        <v>1</v>
      </c>
      <c r="K73" s="13">
        <v>1</v>
      </c>
      <c r="L73" s="13">
        <v>0</v>
      </c>
      <c r="M73" s="13">
        <v>0</v>
      </c>
      <c r="N73" s="13">
        <v>-5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</row>
    <row r="74" spans="1:45" ht="34" customHeight="1">
      <c r="A74" s="13" t="s">
        <v>207</v>
      </c>
      <c r="B74" s="13" t="s">
        <v>208</v>
      </c>
      <c r="C74" s="13" t="s">
        <v>1985</v>
      </c>
      <c r="D74" s="13">
        <v>0</v>
      </c>
      <c r="E74" s="13">
        <v>2</v>
      </c>
      <c r="F74" s="13">
        <v>5</v>
      </c>
      <c r="G74" s="13">
        <v>0</v>
      </c>
      <c r="H74" s="13">
        <v>-3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-1</v>
      </c>
    </row>
    <row r="75" spans="1:45" ht="23" customHeight="1">
      <c r="A75" s="13" t="s">
        <v>209</v>
      </c>
      <c r="B75" s="13" t="s">
        <v>210</v>
      </c>
      <c r="C75" s="13" t="s">
        <v>1986</v>
      </c>
      <c r="D75" s="13">
        <v>0</v>
      </c>
      <c r="E75" s="13">
        <v>1</v>
      </c>
      <c r="F75" s="13">
        <v>0</v>
      </c>
      <c r="G75" s="13">
        <v>0</v>
      </c>
      <c r="H75" s="14">
        <v>1</v>
      </c>
      <c r="I75" s="13">
        <v>-2</v>
      </c>
      <c r="J75" s="13">
        <v>1</v>
      </c>
      <c r="K75" s="13">
        <v>1</v>
      </c>
      <c r="L75" s="13">
        <v>0</v>
      </c>
      <c r="M75" s="13">
        <v>0</v>
      </c>
      <c r="N75" s="13">
        <v>-2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4">
        <v>1</v>
      </c>
    </row>
    <row r="76" spans="1:45" ht="23" customHeight="1">
      <c r="A76" s="13" t="s">
        <v>211</v>
      </c>
      <c r="B76" s="13" t="s">
        <v>212</v>
      </c>
      <c r="C76" s="13" t="s">
        <v>1987</v>
      </c>
      <c r="D76" s="13">
        <v>0</v>
      </c>
      <c r="E76" s="13">
        <v>5</v>
      </c>
      <c r="F76" s="13">
        <v>14</v>
      </c>
      <c r="G76" s="13">
        <v>0</v>
      </c>
      <c r="H76" s="13">
        <v>-9</v>
      </c>
      <c r="I76" s="13">
        <v>-14</v>
      </c>
      <c r="J76" s="13">
        <v>3</v>
      </c>
      <c r="K76" s="13">
        <v>16</v>
      </c>
      <c r="L76" s="13">
        <v>0</v>
      </c>
      <c r="M76" s="13">
        <v>-13</v>
      </c>
      <c r="N76" s="13">
        <v>-26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-22</v>
      </c>
    </row>
    <row r="77" spans="1:45" ht="23" customHeight="1">
      <c r="A77" s="13" t="s">
        <v>214</v>
      </c>
      <c r="B77" s="13" t="s">
        <v>215</v>
      </c>
      <c r="C77" s="13" t="s">
        <v>1988</v>
      </c>
      <c r="D77" s="13">
        <v>0</v>
      </c>
      <c r="E77" s="13">
        <v>1</v>
      </c>
      <c r="F77" s="13">
        <v>3</v>
      </c>
      <c r="G77" s="13">
        <v>0</v>
      </c>
      <c r="H77" s="13">
        <v>-2</v>
      </c>
      <c r="I77" s="13">
        <v>0</v>
      </c>
      <c r="J77" s="13">
        <v>0</v>
      </c>
      <c r="K77" s="13">
        <v>1</v>
      </c>
      <c r="L77" s="13">
        <v>0</v>
      </c>
      <c r="M77" s="13">
        <v>-1</v>
      </c>
      <c r="N77" s="13">
        <v>-1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-1</v>
      </c>
    </row>
    <row r="78" spans="1:45" ht="34" customHeight="1">
      <c r="A78" s="13" t="s">
        <v>217</v>
      </c>
      <c r="B78" s="13" t="s">
        <v>218</v>
      </c>
      <c r="C78" s="13"/>
      <c r="D78" s="13">
        <v>4</v>
      </c>
      <c r="E78" s="13">
        <v>1</v>
      </c>
      <c r="F78" s="13">
        <v>2</v>
      </c>
      <c r="G78" s="13">
        <v>0</v>
      </c>
      <c r="H78" s="13">
        <v>-1</v>
      </c>
      <c r="I78" s="13">
        <v>-3</v>
      </c>
      <c r="J78" s="13">
        <v>1</v>
      </c>
      <c r="K78" s="13">
        <v>1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-1</v>
      </c>
    </row>
    <row r="79" spans="1:45" ht="23" customHeight="1">
      <c r="A79" s="13" t="s">
        <v>220</v>
      </c>
      <c r="B79" s="13" t="s">
        <v>221</v>
      </c>
      <c r="C79" s="13"/>
      <c r="D79" s="13">
        <v>0</v>
      </c>
      <c r="E79" s="13">
        <v>1</v>
      </c>
      <c r="F79" s="13">
        <v>2</v>
      </c>
      <c r="G79" s="13">
        <v>0</v>
      </c>
      <c r="H79" s="13">
        <v>-1</v>
      </c>
      <c r="I79" s="13">
        <v>-2</v>
      </c>
      <c r="J79" s="13">
        <v>0</v>
      </c>
      <c r="K79" s="13">
        <v>1</v>
      </c>
      <c r="L79" s="13">
        <v>0</v>
      </c>
      <c r="M79" s="13">
        <v>-1</v>
      </c>
      <c r="N79" s="13">
        <v>-1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-2</v>
      </c>
    </row>
    <row r="80" spans="1:45" ht="34" customHeight="1">
      <c r="A80" s="13" t="s">
        <v>223</v>
      </c>
      <c r="B80" s="13" t="s">
        <v>224</v>
      </c>
      <c r="C80" s="13" t="s">
        <v>1989</v>
      </c>
      <c r="D80" s="13">
        <v>0</v>
      </c>
      <c r="E80" s="13">
        <v>2</v>
      </c>
      <c r="F80" s="13">
        <v>2</v>
      </c>
      <c r="G80" s="13">
        <v>0</v>
      </c>
      <c r="H80" s="13">
        <v>0</v>
      </c>
      <c r="I80" s="13">
        <v>-4</v>
      </c>
      <c r="J80" s="13">
        <v>1</v>
      </c>
      <c r="K80" s="13">
        <v>1</v>
      </c>
      <c r="L80" s="13">
        <v>0</v>
      </c>
      <c r="M80" s="13">
        <v>0</v>
      </c>
      <c r="N80" s="13">
        <v>-13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</row>
    <row r="81" spans="1:45" ht="23" customHeight="1">
      <c r="A81" s="13" t="s">
        <v>226</v>
      </c>
      <c r="B81" s="13" t="s">
        <v>227</v>
      </c>
      <c r="C81" s="13"/>
      <c r="D81" s="13">
        <v>0</v>
      </c>
      <c r="E81" s="13">
        <v>1</v>
      </c>
      <c r="F81" s="13">
        <v>4</v>
      </c>
      <c r="G81" s="13">
        <v>0</v>
      </c>
      <c r="H81" s="13">
        <v>-3</v>
      </c>
      <c r="I81" s="13">
        <v>-2</v>
      </c>
      <c r="J81" s="13">
        <v>1</v>
      </c>
      <c r="K81" s="13">
        <v>1</v>
      </c>
      <c r="L81" s="13">
        <v>0</v>
      </c>
      <c r="M81" s="13">
        <v>0</v>
      </c>
      <c r="N81" s="13">
        <v>-2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1</v>
      </c>
      <c r="U81" s="13">
        <v>1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-1</v>
      </c>
      <c r="AS81" s="13">
        <v>-2</v>
      </c>
    </row>
    <row r="82" spans="1:45" ht="23" customHeight="1">
      <c r="A82" s="13" t="s">
        <v>228</v>
      </c>
      <c r="B82" s="13" t="s">
        <v>229</v>
      </c>
      <c r="C82" s="13" t="s">
        <v>1990</v>
      </c>
      <c r="D82" s="13">
        <v>0</v>
      </c>
      <c r="E82" s="13">
        <v>2</v>
      </c>
      <c r="F82" s="13">
        <v>4</v>
      </c>
      <c r="G82" s="13">
        <v>0</v>
      </c>
      <c r="H82" s="13">
        <v>-2</v>
      </c>
      <c r="I82" s="13">
        <v>-5</v>
      </c>
      <c r="J82" s="13">
        <v>1</v>
      </c>
      <c r="K82" s="13">
        <v>3</v>
      </c>
      <c r="L82" s="13">
        <v>0</v>
      </c>
      <c r="M82" s="13">
        <v>-2</v>
      </c>
      <c r="N82" s="13">
        <v>-6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-4</v>
      </c>
    </row>
    <row r="83" spans="1:45" ht="34" customHeight="1">
      <c r="A83" s="13" t="s">
        <v>231</v>
      </c>
      <c r="B83" s="13" t="s">
        <v>232</v>
      </c>
      <c r="C83" s="13" t="s">
        <v>1991</v>
      </c>
      <c r="D83" s="13">
        <v>0</v>
      </c>
      <c r="E83" s="13">
        <v>1</v>
      </c>
      <c r="F83" s="13">
        <v>1</v>
      </c>
      <c r="G83" s="13">
        <v>0</v>
      </c>
      <c r="H83" s="13">
        <v>0</v>
      </c>
      <c r="I83" s="13">
        <v>-4</v>
      </c>
      <c r="J83" s="13">
        <v>0</v>
      </c>
      <c r="K83" s="13">
        <v>0</v>
      </c>
      <c r="L83" s="13">
        <v>0</v>
      </c>
      <c r="M83" s="13">
        <v>0</v>
      </c>
      <c r="N83" s="13">
        <v>-1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</row>
    <row r="84" spans="1:45" ht="34" customHeight="1">
      <c r="A84" s="13" t="s">
        <v>233</v>
      </c>
      <c r="B84" s="13" t="s">
        <v>234</v>
      </c>
      <c r="C84" s="13" t="s">
        <v>1992</v>
      </c>
      <c r="D84" s="13">
        <v>0</v>
      </c>
      <c r="E84" s="13">
        <v>1</v>
      </c>
      <c r="F84" s="13">
        <v>3</v>
      </c>
      <c r="G84" s="13">
        <v>0</v>
      </c>
      <c r="H84" s="13">
        <v>-2</v>
      </c>
      <c r="I84" s="13">
        <v>0</v>
      </c>
      <c r="J84" s="13">
        <v>1</v>
      </c>
      <c r="K84" s="13">
        <v>1</v>
      </c>
      <c r="L84" s="13">
        <v>0</v>
      </c>
      <c r="M84" s="13">
        <v>0</v>
      </c>
      <c r="N84" s="13">
        <v>-2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-1</v>
      </c>
    </row>
    <row r="85" spans="1:45" ht="20" customHeight="1">
      <c r="A85" s="13" t="s">
        <v>235</v>
      </c>
      <c r="B85" s="13" t="s">
        <v>221</v>
      </c>
      <c r="C85" s="13"/>
      <c r="D85" s="13">
        <v>0</v>
      </c>
      <c r="E85" s="13">
        <v>0</v>
      </c>
      <c r="F85" s="13">
        <v>1</v>
      </c>
      <c r="G85" s="13">
        <v>0</v>
      </c>
      <c r="H85" s="13">
        <v>-1</v>
      </c>
      <c r="I85" s="13">
        <v>0</v>
      </c>
      <c r="J85" s="13">
        <v>1</v>
      </c>
      <c r="K85" s="13">
        <v>1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-1</v>
      </c>
    </row>
    <row r="86" spans="1:45" ht="23" customHeight="1">
      <c r="A86" s="13" t="s">
        <v>236</v>
      </c>
      <c r="B86" s="13" t="s">
        <v>237</v>
      </c>
      <c r="C86" s="13" t="s">
        <v>1993</v>
      </c>
      <c r="D86" s="13">
        <v>0</v>
      </c>
      <c r="E86" s="13">
        <v>0</v>
      </c>
      <c r="F86" s="13">
        <v>1</v>
      </c>
      <c r="G86" s="13">
        <v>0</v>
      </c>
      <c r="H86" s="13">
        <v>-1</v>
      </c>
      <c r="I86" s="13">
        <v>0</v>
      </c>
      <c r="J86" s="13">
        <v>1</v>
      </c>
      <c r="K86" s="13">
        <v>1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-1</v>
      </c>
    </row>
    <row r="87" spans="1:45" ht="34" customHeight="1">
      <c r="A87" s="13" t="s">
        <v>238</v>
      </c>
      <c r="B87" s="13" t="s">
        <v>239</v>
      </c>
      <c r="C87" s="13" t="s">
        <v>1994</v>
      </c>
      <c r="D87" s="13">
        <v>0</v>
      </c>
      <c r="E87" s="13">
        <v>1</v>
      </c>
      <c r="F87" s="13">
        <v>2</v>
      </c>
      <c r="G87" s="13">
        <v>0</v>
      </c>
      <c r="H87" s="13">
        <v>-1</v>
      </c>
      <c r="I87" s="13">
        <v>-9</v>
      </c>
      <c r="J87" s="13">
        <v>1</v>
      </c>
      <c r="K87" s="13">
        <v>1</v>
      </c>
      <c r="L87" s="13">
        <v>0</v>
      </c>
      <c r="M87" s="13">
        <v>0</v>
      </c>
      <c r="N87" s="13">
        <v>-10</v>
      </c>
      <c r="O87" s="13">
        <v>0</v>
      </c>
      <c r="P87" s="13">
        <v>0</v>
      </c>
      <c r="Q87" s="13">
        <v>0</v>
      </c>
      <c r="R87" s="13">
        <v>0</v>
      </c>
      <c r="S87" s="13">
        <v>-1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-1</v>
      </c>
    </row>
    <row r="88" spans="1:45" ht="34" customHeight="1">
      <c r="A88" s="13" t="s">
        <v>240</v>
      </c>
      <c r="B88" s="13" t="s">
        <v>239</v>
      </c>
      <c r="C88" s="13" t="s">
        <v>1995</v>
      </c>
      <c r="D88" s="13">
        <v>0</v>
      </c>
      <c r="E88" s="13">
        <v>2</v>
      </c>
      <c r="F88" s="13">
        <v>4</v>
      </c>
      <c r="G88" s="13">
        <v>0</v>
      </c>
      <c r="H88" s="13">
        <v>-2</v>
      </c>
      <c r="I88" s="13">
        <v>-23</v>
      </c>
      <c r="J88" s="13">
        <v>1</v>
      </c>
      <c r="K88" s="13">
        <v>1</v>
      </c>
      <c r="L88" s="13">
        <v>0</v>
      </c>
      <c r="M88" s="13">
        <v>0</v>
      </c>
      <c r="N88" s="13">
        <v>-17</v>
      </c>
      <c r="O88" s="13">
        <v>0</v>
      </c>
      <c r="P88" s="13">
        <v>0</v>
      </c>
      <c r="Q88" s="13">
        <v>0</v>
      </c>
      <c r="R88" s="13">
        <v>0</v>
      </c>
      <c r="S88" s="13">
        <v>-1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-2</v>
      </c>
    </row>
    <row r="89" spans="1:45" ht="23" customHeight="1">
      <c r="A89" s="13" t="s">
        <v>241</v>
      </c>
      <c r="B89" s="13" t="s">
        <v>242</v>
      </c>
      <c r="C89" s="13"/>
      <c r="D89" s="13">
        <v>0</v>
      </c>
      <c r="E89" s="13">
        <v>1</v>
      </c>
      <c r="F89" s="13">
        <v>2</v>
      </c>
      <c r="G89" s="13">
        <v>0</v>
      </c>
      <c r="H89" s="13">
        <v>-1</v>
      </c>
      <c r="I89" s="13">
        <v>0</v>
      </c>
      <c r="J89" s="13">
        <v>0</v>
      </c>
      <c r="K89" s="13">
        <v>1</v>
      </c>
      <c r="L89" s="13">
        <v>0</v>
      </c>
      <c r="M89" s="13">
        <v>-1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-2</v>
      </c>
    </row>
    <row r="90" spans="1:45" ht="23" customHeight="1">
      <c r="A90" s="13" t="s">
        <v>243</v>
      </c>
      <c r="B90" s="13" t="s">
        <v>244</v>
      </c>
      <c r="C90" s="13"/>
      <c r="D90" s="13">
        <v>0</v>
      </c>
      <c r="E90" s="13">
        <v>2</v>
      </c>
      <c r="F90" s="13">
        <v>7</v>
      </c>
      <c r="G90" s="13">
        <v>0</v>
      </c>
      <c r="H90" s="13">
        <v>-5</v>
      </c>
      <c r="I90" s="13">
        <v>-1</v>
      </c>
      <c r="J90" s="13">
        <v>0</v>
      </c>
      <c r="K90" s="13">
        <v>5</v>
      </c>
      <c r="L90" s="13">
        <v>0</v>
      </c>
      <c r="M90" s="13">
        <v>-5</v>
      </c>
      <c r="N90" s="13">
        <v>-1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2</v>
      </c>
      <c r="AP90" s="13">
        <v>0</v>
      </c>
      <c r="AQ90" s="13">
        <v>-2</v>
      </c>
      <c r="AR90" s="13">
        <v>0</v>
      </c>
      <c r="AS90" s="13">
        <v>-12</v>
      </c>
    </row>
    <row r="91" spans="1:45" ht="23" customHeight="1">
      <c r="A91" s="13" t="s">
        <v>246</v>
      </c>
      <c r="B91" s="13" t="s">
        <v>247</v>
      </c>
      <c r="C91" s="13" t="s">
        <v>1996</v>
      </c>
      <c r="D91" s="13">
        <v>2</v>
      </c>
      <c r="E91" s="13">
        <v>2</v>
      </c>
      <c r="F91" s="13">
        <v>12</v>
      </c>
      <c r="G91" s="13">
        <v>0</v>
      </c>
      <c r="H91" s="13">
        <v>-10</v>
      </c>
      <c r="I91" s="13">
        <v>-13</v>
      </c>
      <c r="J91" s="13">
        <v>2</v>
      </c>
      <c r="K91" s="13">
        <v>6</v>
      </c>
      <c r="L91" s="13">
        <v>0</v>
      </c>
      <c r="M91" s="13">
        <v>-4</v>
      </c>
      <c r="N91" s="13">
        <v>-13</v>
      </c>
      <c r="O91" s="13">
        <v>0</v>
      </c>
      <c r="P91" s="13">
        <v>0</v>
      </c>
      <c r="Q91" s="13">
        <v>0</v>
      </c>
      <c r="R91" s="13">
        <v>0</v>
      </c>
      <c r="S91" s="13">
        <v>-1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-13</v>
      </c>
    </row>
    <row r="92" spans="1:45" ht="34" customHeight="1">
      <c r="A92" s="13" t="s">
        <v>248</v>
      </c>
      <c r="B92" s="13" t="s">
        <v>249</v>
      </c>
      <c r="C92" s="13"/>
      <c r="D92" s="13">
        <v>1</v>
      </c>
      <c r="E92" s="13">
        <v>1</v>
      </c>
      <c r="F92" s="13">
        <v>1</v>
      </c>
      <c r="G92" s="13">
        <v>0</v>
      </c>
      <c r="H92" s="13">
        <v>0</v>
      </c>
      <c r="I92" s="13">
        <v>-2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</row>
    <row r="93" spans="1:45" ht="34" customHeight="1">
      <c r="A93" s="13" t="s">
        <v>250</v>
      </c>
      <c r="B93" s="13" t="s">
        <v>251</v>
      </c>
      <c r="C93" s="13"/>
      <c r="D93" s="13">
        <v>2</v>
      </c>
      <c r="E93" s="13">
        <v>2</v>
      </c>
      <c r="F93" s="13">
        <v>10</v>
      </c>
      <c r="G93" s="13">
        <v>0</v>
      </c>
      <c r="H93" s="13">
        <v>-8</v>
      </c>
      <c r="I93" s="13">
        <v>-8</v>
      </c>
      <c r="J93" s="13">
        <v>2</v>
      </c>
      <c r="K93" s="13">
        <v>2</v>
      </c>
      <c r="L93" s="13">
        <v>0</v>
      </c>
      <c r="M93" s="13">
        <v>0</v>
      </c>
      <c r="N93" s="13">
        <v>-3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-8</v>
      </c>
    </row>
    <row r="94" spans="1:45" ht="23" customHeight="1">
      <c r="A94" s="13" t="s">
        <v>252</v>
      </c>
      <c r="B94" s="13" t="s">
        <v>253</v>
      </c>
      <c r="C94" s="13"/>
      <c r="D94" s="13">
        <v>0</v>
      </c>
      <c r="E94" s="13">
        <v>1</v>
      </c>
      <c r="F94" s="13">
        <v>3</v>
      </c>
      <c r="G94" s="13">
        <v>0</v>
      </c>
      <c r="H94" s="13">
        <v>-2</v>
      </c>
      <c r="I94" s="13">
        <v>0</v>
      </c>
      <c r="J94" s="13">
        <v>1</v>
      </c>
      <c r="K94" s="13">
        <v>1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-1</v>
      </c>
    </row>
    <row r="95" spans="1:45" ht="34" customHeight="1">
      <c r="A95" s="13" t="s">
        <v>255</v>
      </c>
      <c r="B95" s="13" t="s">
        <v>256</v>
      </c>
      <c r="C95" s="13" t="s">
        <v>1997</v>
      </c>
      <c r="D95" s="13">
        <v>0</v>
      </c>
      <c r="E95" s="13">
        <v>1</v>
      </c>
      <c r="F95" s="13">
        <v>1</v>
      </c>
      <c r="G95" s="13">
        <v>0</v>
      </c>
      <c r="H95" s="13">
        <v>0</v>
      </c>
      <c r="I95" s="13">
        <v>-1</v>
      </c>
      <c r="J95" s="13">
        <v>1</v>
      </c>
      <c r="K95" s="13">
        <v>1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</row>
    <row r="96" spans="1:45" ht="23" customHeight="1">
      <c r="A96" s="13" t="s">
        <v>258</v>
      </c>
      <c r="B96" s="13" t="s">
        <v>259</v>
      </c>
      <c r="C96" s="13" t="s">
        <v>1998</v>
      </c>
      <c r="D96" s="13">
        <v>0</v>
      </c>
      <c r="E96" s="13">
        <v>3</v>
      </c>
      <c r="F96" s="13">
        <v>5</v>
      </c>
      <c r="G96" s="13">
        <v>0</v>
      </c>
      <c r="H96" s="13">
        <v>-2</v>
      </c>
      <c r="I96" s="13">
        <v>0</v>
      </c>
      <c r="J96" s="13">
        <v>0</v>
      </c>
      <c r="K96" s="13">
        <v>3</v>
      </c>
      <c r="L96" s="13">
        <v>0</v>
      </c>
      <c r="M96" s="13">
        <v>-3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-5</v>
      </c>
    </row>
    <row r="97" spans="1:45" ht="34" customHeight="1">
      <c r="A97" s="13" t="s">
        <v>260</v>
      </c>
      <c r="B97" s="13" t="s">
        <v>259</v>
      </c>
      <c r="C97" s="13" t="s">
        <v>1999</v>
      </c>
      <c r="D97" s="13">
        <v>0</v>
      </c>
      <c r="E97" s="13">
        <v>0</v>
      </c>
      <c r="F97" s="13">
        <v>11</v>
      </c>
      <c r="G97" s="13">
        <v>0</v>
      </c>
      <c r="H97" s="13">
        <v>-11</v>
      </c>
      <c r="I97" s="13">
        <v>-1</v>
      </c>
      <c r="J97" s="13">
        <v>3</v>
      </c>
      <c r="K97" s="13">
        <v>3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-1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-11</v>
      </c>
    </row>
    <row r="98" spans="1:45" ht="23" customHeight="1">
      <c r="A98" s="13" t="s">
        <v>261</v>
      </c>
      <c r="B98" s="13" t="s">
        <v>259</v>
      </c>
      <c r="C98" s="13"/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2</v>
      </c>
      <c r="K98" s="13">
        <v>2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</row>
    <row r="99" spans="1:45" ht="23" customHeight="1">
      <c r="A99" s="13" t="s">
        <v>262</v>
      </c>
      <c r="B99" s="13" t="s">
        <v>259</v>
      </c>
      <c r="C99" s="13" t="s">
        <v>2000</v>
      </c>
      <c r="D99" s="13">
        <v>0</v>
      </c>
      <c r="E99" s="13">
        <v>3</v>
      </c>
      <c r="F99" s="13">
        <v>3</v>
      </c>
      <c r="G99" s="13">
        <v>0</v>
      </c>
      <c r="H99" s="13">
        <v>0</v>
      </c>
      <c r="I99" s="13">
        <v>0</v>
      </c>
      <c r="J99" s="13">
        <v>0</v>
      </c>
      <c r="K99" s="13">
        <v>3</v>
      </c>
      <c r="L99" s="13">
        <v>0</v>
      </c>
      <c r="M99" s="13">
        <v>-3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-3</v>
      </c>
    </row>
    <row r="100" spans="1:45" ht="34" customHeight="1">
      <c r="A100" s="13" t="s">
        <v>263</v>
      </c>
      <c r="B100" s="13" t="s">
        <v>259</v>
      </c>
      <c r="C100" s="13" t="s">
        <v>2001</v>
      </c>
      <c r="D100" s="13">
        <v>0</v>
      </c>
      <c r="E100" s="13">
        <v>0</v>
      </c>
      <c r="F100" s="13">
        <v>10</v>
      </c>
      <c r="G100" s="13">
        <v>0</v>
      </c>
      <c r="H100" s="13">
        <v>-10</v>
      </c>
      <c r="I100" s="13">
        <v>-1</v>
      </c>
      <c r="J100" s="13">
        <v>3</v>
      </c>
      <c r="K100" s="13">
        <v>3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-10</v>
      </c>
    </row>
    <row r="101" spans="1:45" ht="23" customHeight="1">
      <c r="A101" s="13" t="s">
        <v>264</v>
      </c>
      <c r="B101" s="13" t="s">
        <v>259</v>
      </c>
      <c r="C101" s="13"/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2</v>
      </c>
      <c r="K101" s="13">
        <v>2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</row>
    <row r="102" spans="1:45" ht="23" customHeight="1">
      <c r="A102" s="13" t="s">
        <v>266</v>
      </c>
      <c r="B102" s="13" t="s">
        <v>267</v>
      </c>
      <c r="C102" s="13"/>
      <c r="D102" s="13">
        <v>0</v>
      </c>
      <c r="E102" s="13">
        <v>2</v>
      </c>
      <c r="F102" s="13">
        <v>7</v>
      </c>
      <c r="G102" s="13">
        <v>0</v>
      </c>
      <c r="H102" s="13">
        <v>-5</v>
      </c>
      <c r="I102" s="13">
        <v>-3</v>
      </c>
      <c r="J102" s="13">
        <v>1</v>
      </c>
      <c r="K102" s="13">
        <v>2</v>
      </c>
      <c r="L102" s="13">
        <v>0</v>
      </c>
      <c r="M102" s="13">
        <v>-1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</row>
    <row r="103" spans="1:45" ht="20" customHeight="1">
      <c r="A103" s="13" t="s">
        <v>268</v>
      </c>
      <c r="B103" s="13" t="s">
        <v>269</v>
      </c>
      <c r="C103" s="13" t="s">
        <v>2002</v>
      </c>
      <c r="D103" s="13">
        <v>0</v>
      </c>
      <c r="E103" s="13">
        <v>5</v>
      </c>
      <c r="F103" s="13">
        <v>6</v>
      </c>
      <c r="G103" s="13">
        <v>0</v>
      </c>
      <c r="H103" s="13">
        <v>-1</v>
      </c>
      <c r="I103" s="13">
        <v>-3</v>
      </c>
      <c r="J103" s="13">
        <v>5</v>
      </c>
      <c r="K103" s="13">
        <v>6</v>
      </c>
      <c r="L103" s="13">
        <v>0</v>
      </c>
      <c r="M103" s="13">
        <v>-1</v>
      </c>
      <c r="N103" s="13">
        <v>-3</v>
      </c>
      <c r="O103" s="13">
        <v>0</v>
      </c>
      <c r="P103" s="13">
        <v>2</v>
      </c>
      <c r="Q103" s="13">
        <v>0</v>
      </c>
      <c r="R103" s="13">
        <v>-2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2</v>
      </c>
      <c r="AP103" s="13">
        <v>0</v>
      </c>
      <c r="AQ103" s="13">
        <v>-2</v>
      </c>
      <c r="AR103" s="13">
        <v>0</v>
      </c>
      <c r="AS103" s="13">
        <v>-6</v>
      </c>
    </row>
    <row r="104" spans="1:45" ht="20" customHeight="1">
      <c r="A104" s="13" t="s">
        <v>270</v>
      </c>
      <c r="B104" s="13" t="s">
        <v>269</v>
      </c>
      <c r="C104" s="13"/>
      <c r="D104" s="13">
        <v>0</v>
      </c>
      <c r="E104" s="13">
        <v>1</v>
      </c>
      <c r="F104" s="13">
        <v>2</v>
      </c>
      <c r="G104" s="13">
        <v>0</v>
      </c>
      <c r="H104" s="13">
        <v>-1</v>
      </c>
      <c r="I104" s="13">
        <v>-7</v>
      </c>
      <c r="J104" s="13">
        <v>1</v>
      </c>
      <c r="K104" s="13">
        <v>4</v>
      </c>
      <c r="L104" s="13">
        <v>0</v>
      </c>
      <c r="M104" s="13">
        <v>-3</v>
      </c>
      <c r="N104" s="13">
        <v>-1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-4</v>
      </c>
    </row>
    <row r="105" spans="1:45" ht="20" customHeight="1">
      <c r="A105" s="13" t="s">
        <v>272</v>
      </c>
      <c r="B105" s="13" t="s">
        <v>273</v>
      </c>
      <c r="C105" s="13"/>
      <c r="D105" s="13">
        <v>0</v>
      </c>
      <c r="E105" s="13">
        <v>1</v>
      </c>
      <c r="F105" s="13">
        <v>1</v>
      </c>
      <c r="G105" s="13">
        <v>0</v>
      </c>
      <c r="H105" s="13">
        <v>0</v>
      </c>
      <c r="I105" s="13">
        <v>0</v>
      </c>
      <c r="J105" s="13">
        <v>1</v>
      </c>
      <c r="K105" s="13">
        <v>1</v>
      </c>
      <c r="L105" s="13">
        <v>0</v>
      </c>
      <c r="M105" s="13">
        <v>0</v>
      </c>
      <c r="N105" s="13">
        <v>-2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</row>
    <row r="106" spans="1:45" ht="20" customHeight="1">
      <c r="A106" s="13" t="s">
        <v>275</v>
      </c>
      <c r="B106" s="13" t="s">
        <v>276</v>
      </c>
      <c r="C106" s="13" t="s">
        <v>2003</v>
      </c>
      <c r="D106" s="13">
        <v>10</v>
      </c>
      <c r="E106" s="13">
        <v>4</v>
      </c>
      <c r="F106" s="13">
        <v>33</v>
      </c>
      <c r="G106" s="13">
        <v>0</v>
      </c>
      <c r="H106" s="13">
        <v>-29</v>
      </c>
      <c r="I106" s="13">
        <v>-48</v>
      </c>
      <c r="J106" s="13">
        <v>4</v>
      </c>
      <c r="K106" s="13">
        <v>15</v>
      </c>
      <c r="L106" s="13">
        <v>0</v>
      </c>
      <c r="M106" s="13">
        <v>-11</v>
      </c>
      <c r="N106" s="13">
        <v>-19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-40</v>
      </c>
    </row>
    <row r="107" spans="1:45" ht="34" customHeight="1">
      <c r="A107" s="13" t="s">
        <v>278</v>
      </c>
      <c r="B107" s="13" t="s">
        <v>279</v>
      </c>
      <c r="C107" s="13"/>
      <c r="D107" s="13">
        <v>0</v>
      </c>
      <c r="E107" s="13">
        <v>1</v>
      </c>
      <c r="F107" s="13">
        <v>3</v>
      </c>
      <c r="G107" s="13">
        <v>0</v>
      </c>
      <c r="H107" s="13">
        <v>-2</v>
      </c>
      <c r="I107" s="13">
        <v>0</v>
      </c>
      <c r="J107" s="13">
        <v>1</v>
      </c>
      <c r="K107" s="13">
        <v>2</v>
      </c>
      <c r="L107" s="13">
        <v>0</v>
      </c>
      <c r="M107" s="13">
        <v>-1</v>
      </c>
      <c r="N107" s="13">
        <v>-3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-3</v>
      </c>
    </row>
    <row r="108" spans="1:45" ht="23" customHeight="1">
      <c r="A108" s="13" t="s">
        <v>281</v>
      </c>
      <c r="B108" s="13" t="s">
        <v>282</v>
      </c>
      <c r="C108" s="13" t="s">
        <v>2004</v>
      </c>
      <c r="D108" s="13">
        <v>0</v>
      </c>
      <c r="E108" s="13">
        <v>1</v>
      </c>
      <c r="F108" s="13">
        <v>2</v>
      </c>
      <c r="G108" s="13">
        <v>0</v>
      </c>
      <c r="H108" s="13">
        <v>-1</v>
      </c>
      <c r="I108" s="13">
        <v>-11</v>
      </c>
      <c r="J108" s="13">
        <v>1</v>
      </c>
      <c r="K108" s="13">
        <v>1</v>
      </c>
      <c r="L108" s="13">
        <v>0</v>
      </c>
      <c r="M108" s="13">
        <v>0</v>
      </c>
      <c r="N108" s="13">
        <v>-3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-1</v>
      </c>
    </row>
    <row r="109" spans="1:45" ht="23" customHeight="1">
      <c r="A109" s="13" t="s">
        <v>283</v>
      </c>
      <c r="B109" s="13" t="s">
        <v>284</v>
      </c>
      <c r="C109" s="13"/>
      <c r="D109" s="13">
        <v>0</v>
      </c>
      <c r="E109" s="13">
        <v>0</v>
      </c>
      <c r="F109" s="13">
        <v>3</v>
      </c>
      <c r="G109" s="13">
        <v>0</v>
      </c>
      <c r="H109" s="13">
        <v>-3</v>
      </c>
      <c r="I109" s="13">
        <v>-2</v>
      </c>
      <c r="J109" s="13">
        <v>1</v>
      </c>
      <c r="K109" s="13">
        <v>5</v>
      </c>
      <c r="L109" s="13">
        <v>0</v>
      </c>
      <c r="M109" s="13">
        <v>-4</v>
      </c>
      <c r="N109" s="13">
        <v>-3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</row>
    <row r="110" spans="1:45" ht="23" customHeight="1">
      <c r="A110" s="13" t="s">
        <v>285</v>
      </c>
      <c r="B110" s="13" t="s">
        <v>286</v>
      </c>
      <c r="C110" s="13" t="s">
        <v>2005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1</v>
      </c>
      <c r="K110" s="13">
        <v>1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</row>
    <row r="111" spans="1:45" ht="23" customHeight="1">
      <c r="A111" s="13" t="s">
        <v>288</v>
      </c>
      <c r="B111" s="13" t="s">
        <v>289</v>
      </c>
      <c r="C111" s="13" t="s">
        <v>2006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1</v>
      </c>
      <c r="K111" s="13">
        <v>1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</row>
    <row r="112" spans="1:45" ht="23" customHeight="1">
      <c r="A112" s="13" t="s">
        <v>291</v>
      </c>
      <c r="B112" s="13" t="s">
        <v>292</v>
      </c>
      <c r="C112" s="13" t="s">
        <v>2007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1</v>
      </c>
      <c r="K112" s="13">
        <v>1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</row>
    <row r="113" spans="1:45" ht="23" customHeight="1">
      <c r="A113" s="13" t="s">
        <v>294</v>
      </c>
      <c r="B113" s="13" t="s">
        <v>295</v>
      </c>
      <c r="C113" s="13" t="s">
        <v>2008</v>
      </c>
      <c r="D113" s="13">
        <v>0</v>
      </c>
      <c r="E113" s="13">
        <v>1</v>
      </c>
      <c r="F113" s="13">
        <v>3</v>
      </c>
      <c r="G113" s="13">
        <v>0</v>
      </c>
      <c r="H113" s="13">
        <v>-2</v>
      </c>
      <c r="I113" s="13">
        <v>0</v>
      </c>
      <c r="J113" s="13">
        <v>0</v>
      </c>
      <c r="K113" s="13">
        <v>3</v>
      </c>
      <c r="L113" s="13">
        <v>0</v>
      </c>
      <c r="M113" s="13">
        <v>-3</v>
      </c>
      <c r="N113" s="13">
        <v>-1</v>
      </c>
      <c r="O113" s="13">
        <v>0</v>
      </c>
      <c r="P113" s="13">
        <v>0</v>
      </c>
      <c r="Q113" s="13">
        <v>0</v>
      </c>
      <c r="R113" s="13">
        <v>0</v>
      </c>
      <c r="S113" s="13">
        <v>-1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-5</v>
      </c>
    </row>
    <row r="114" spans="1:45" ht="34" customHeight="1">
      <c r="A114" s="13" t="s">
        <v>296</v>
      </c>
      <c r="B114" s="13" t="s">
        <v>297</v>
      </c>
      <c r="C114" s="13" t="s">
        <v>2009</v>
      </c>
      <c r="D114" s="13">
        <v>0</v>
      </c>
      <c r="E114" s="13">
        <v>1</v>
      </c>
      <c r="F114" s="13">
        <v>0</v>
      </c>
      <c r="G114" s="13">
        <v>0</v>
      </c>
      <c r="H114" s="14">
        <v>1</v>
      </c>
      <c r="I114" s="13">
        <v>0</v>
      </c>
      <c r="J114" s="13">
        <v>1</v>
      </c>
      <c r="K114" s="13">
        <v>1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4">
        <v>1</v>
      </c>
    </row>
    <row r="115" spans="1:45" ht="23" customHeight="1">
      <c r="A115" s="13" t="s">
        <v>298</v>
      </c>
      <c r="B115" s="13" t="s">
        <v>299</v>
      </c>
      <c r="C115" s="13" t="s">
        <v>2010</v>
      </c>
      <c r="D115" s="13">
        <v>0</v>
      </c>
      <c r="E115" s="13">
        <v>1</v>
      </c>
      <c r="F115" s="13">
        <v>6</v>
      </c>
      <c r="G115" s="13">
        <v>0</v>
      </c>
      <c r="H115" s="13">
        <v>-5</v>
      </c>
      <c r="I115" s="13">
        <v>-10</v>
      </c>
      <c r="J115" s="13">
        <v>2</v>
      </c>
      <c r="K115" s="13">
        <v>2</v>
      </c>
      <c r="L115" s="13">
        <v>0</v>
      </c>
      <c r="M115" s="13">
        <v>0</v>
      </c>
      <c r="N115" s="13">
        <v>-6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-5</v>
      </c>
    </row>
    <row r="116" spans="1:45" ht="23" customHeight="1">
      <c r="A116" s="13" t="s">
        <v>300</v>
      </c>
      <c r="B116" s="13" t="s">
        <v>301</v>
      </c>
      <c r="C116" s="13"/>
      <c r="D116" s="13">
        <v>0</v>
      </c>
      <c r="E116" s="13">
        <v>1</v>
      </c>
      <c r="F116" s="13">
        <v>4</v>
      </c>
      <c r="G116" s="13">
        <v>0</v>
      </c>
      <c r="H116" s="13">
        <v>-3</v>
      </c>
      <c r="I116" s="13">
        <v>-1</v>
      </c>
      <c r="J116" s="13">
        <v>1</v>
      </c>
      <c r="K116" s="13">
        <v>1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-1</v>
      </c>
    </row>
    <row r="117" spans="1:45" ht="23" customHeight="1">
      <c r="A117" s="13" t="s">
        <v>302</v>
      </c>
      <c r="B117" s="13" t="s">
        <v>303</v>
      </c>
      <c r="C117" s="13"/>
      <c r="D117" s="13">
        <v>0</v>
      </c>
      <c r="E117" s="13">
        <v>1</v>
      </c>
      <c r="F117" s="13">
        <v>1</v>
      </c>
      <c r="G117" s="13">
        <v>0</v>
      </c>
      <c r="H117" s="13">
        <v>0</v>
      </c>
      <c r="I117" s="13">
        <v>0</v>
      </c>
      <c r="J117" s="13">
        <v>1</v>
      </c>
      <c r="K117" s="13">
        <v>1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</row>
    <row r="118" spans="1:45" ht="23" customHeight="1">
      <c r="A118" s="13" t="s">
        <v>304</v>
      </c>
      <c r="B118" s="13" t="s">
        <v>305</v>
      </c>
      <c r="C118" s="13"/>
      <c r="D118" s="13">
        <v>0</v>
      </c>
      <c r="E118" s="13">
        <v>1</v>
      </c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1</v>
      </c>
      <c r="L118" s="13">
        <v>0</v>
      </c>
      <c r="M118" s="13">
        <v>-1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-1</v>
      </c>
    </row>
    <row r="119" spans="1:45" ht="23" customHeight="1">
      <c r="A119" s="13" t="s">
        <v>307</v>
      </c>
      <c r="B119" s="13" t="s">
        <v>308</v>
      </c>
      <c r="C119" s="13"/>
      <c r="D119" s="13">
        <v>0</v>
      </c>
      <c r="E119" s="13">
        <v>1</v>
      </c>
      <c r="F119" s="13">
        <v>2</v>
      </c>
      <c r="G119" s="13">
        <v>0</v>
      </c>
      <c r="H119" s="13">
        <v>-1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-1</v>
      </c>
    </row>
    <row r="120" spans="1:45" ht="23" customHeight="1">
      <c r="A120" s="13" t="s">
        <v>310</v>
      </c>
      <c r="B120" s="13" t="s">
        <v>311</v>
      </c>
      <c r="C120" s="13"/>
      <c r="D120" s="13">
        <v>0</v>
      </c>
      <c r="E120" s="13">
        <v>1</v>
      </c>
      <c r="F120" s="13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1</v>
      </c>
      <c r="L120" s="13">
        <v>0</v>
      </c>
      <c r="M120" s="13">
        <v>-1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-1</v>
      </c>
    </row>
    <row r="121" spans="1:45" ht="34" customHeight="1">
      <c r="A121" s="13" t="s">
        <v>313</v>
      </c>
      <c r="B121" s="13" t="s">
        <v>314</v>
      </c>
      <c r="C121" s="13"/>
      <c r="D121" s="13">
        <v>0</v>
      </c>
      <c r="E121" s="13">
        <v>1</v>
      </c>
      <c r="F121" s="13">
        <v>4</v>
      </c>
      <c r="G121" s="13">
        <v>0</v>
      </c>
      <c r="H121" s="13">
        <v>-3</v>
      </c>
      <c r="I121" s="13">
        <v>-2</v>
      </c>
      <c r="J121" s="13">
        <v>2</v>
      </c>
      <c r="K121" s="13">
        <v>2</v>
      </c>
      <c r="L121" s="13">
        <v>0</v>
      </c>
      <c r="M121" s="13">
        <v>0</v>
      </c>
      <c r="N121" s="13">
        <v>-4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-3</v>
      </c>
    </row>
    <row r="122" spans="1:45" ht="23" customHeight="1">
      <c r="A122" s="13" t="s">
        <v>316</v>
      </c>
      <c r="B122" s="13" t="s">
        <v>317</v>
      </c>
      <c r="C122" s="13"/>
      <c r="D122" s="13">
        <v>0</v>
      </c>
      <c r="E122" s="13">
        <v>3</v>
      </c>
      <c r="F122" s="13">
        <v>29</v>
      </c>
      <c r="G122" s="13">
        <v>0</v>
      </c>
      <c r="H122" s="13">
        <v>-26</v>
      </c>
      <c r="I122" s="13">
        <v>-5</v>
      </c>
      <c r="J122" s="13">
        <v>7</v>
      </c>
      <c r="K122" s="13">
        <v>9</v>
      </c>
      <c r="L122" s="13">
        <v>0</v>
      </c>
      <c r="M122" s="13">
        <v>-2</v>
      </c>
      <c r="N122" s="13">
        <v>-3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-1</v>
      </c>
      <c r="AS122" s="13">
        <v>-28</v>
      </c>
    </row>
    <row r="123" spans="1:45" ht="23" customHeight="1">
      <c r="A123" s="13" t="s">
        <v>318</v>
      </c>
      <c r="B123" s="13" t="s">
        <v>317</v>
      </c>
      <c r="C123" s="13"/>
      <c r="D123" s="13">
        <v>0</v>
      </c>
      <c r="E123" s="13">
        <v>2</v>
      </c>
      <c r="F123" s="13">
        <v>2</v>
      </c>
      <c r="G123" s="13">
        <v>0</v>
      </c>
      <c r="H123" s="13">
        <v>0</v>
      </c>
      <c r="I123" s="13">
        <v>0</v>
      </c>
      <c r="J123" s="13">
        <v>2</v>
      </c>
      <c r="K123" s="13">
        <v>2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4">
        <v>1</v>
      </c>
    </row>
    <row r="124" spans="1:45" ht="23" customHeight="1">
      <c r="A124" s="13" t="s">
        <v>319</v>
      </c>
      <c r="B124" s="13" t="s">
        <v>320</v>
      </c>
      <c r="C124" s="13"/>
      <c r="D124" s="13">
        <v>0</v>
      </c>
      <c r="E124" s="13">
        <v>2</v>
      </c>
      <c r="F124" s="13">
        <v>2</v>
      </c>
      <c r="G124" s="13">
        <v>0</v>
      </c>
      <c r="H124" s="13">
        <v>0</v>
      </c>
      <c r="I124" s="13">
        <v>-1</v>
      </c>
      <c r="J124" s="13">
        <v>2</v>
      </c>
      <c r="K124" s="13">
        <v>1</v>
      </c>
      <c r="L124" s="13">
        <v>0</v>
      </c>
      <c r="M124" s="14">
        <v>1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4">
        <v>1</v>
      </c>
    </row>
    <row r="125" spans="1:45" ht="23" customHeight="1">
      <c r="A125" s="13" t="s">
        <v>321</v>
      </c>
      <c r="B125" s="13" t="s">
        <v>320</v>
      </c>
      <c r="C125" s="13"/>
      <c r="D125" s="13">
        <v>0</v>
      </c>
      <c r="E125" s="13">
        <v>2</v>
      </c>
      <c r="F125" s="13">
        <v>19</v>
      </c>
      <c r="G125" s="13">
        <v>0</v>
      </c>
      <c r="H125" s="13">
        <v>-17</v>
      </c>
      <c r="I125" s="13">
        <v>0</v>
      </c>
      <c r="J125" s="13">
        <v>2</v>
      </c>
      <c r="K125" s="13">
        <v>2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-1</v>
      </c>
    </row>
    <row r="126" spans="1:45" ht="23" customHeight="1">
      <c r="A126" s="13" t="s">
        <v>322</v>
      </c>
      <c r="B126" s="13" t="s">
        <v>320</v>
      </c>
      <c r="C126" s="13"/>
      <c r="D126" s="13">
        <v>0</v>
      </c>
      <c r="E126" s="13">
        <v>2</v>
      </c>
      <c r="F126" s="13">
        <v>4</v>
      </c>
      <c r="G126" s="13">
        <v>0</v>
      </c>
      <c r="H126" s="13">
        <v>-2</v>
      </c>
      <c r="I126" s="13">
        <v>0</v>
      </c>
      <c r="J126" s="13">
        <v>2</v>
      </c>
      <c r="K126" s="13">
        <v>2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4">
        <v>2</v>
      </c>
    </row>
    <row r="127" spans="1:45" ht="34" customHeight="1">
      <c r="A127" s="13" t="s">
        <v>324</v>
      </c>
      <c r="B127" s="13" t="s">
        <v>325</v>
      </c>
      <c r="C127" s="13"/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1</v>
      </c>
      <c r="K127" s="13">
        <v>1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</row>
    <row r="128" spans="1:45" ht="34" customHeight="1">
      <c r="A128" s="13" t="s">
        <v>326</v>
      </c>
      <c r="B128" s="13" t="s">
        <v>327</v>
      </c>
      <c r="C128" s="13"/>
      <c r="D128" s="13">
        <v>0</v>
      </c>
      <c r="E128" s="13">
        <v>0</v>
      </c>
      <c r="F128" s="13">
        <v>1</v>
      </c>
      <c r="G128" s="13">
        <v>0</v>
      </c>
      <c r="H128" s="13">
        <v>-1</v>
      </c>
      <c r="I128" s="13">
        <v>0</v>
      </c>
      <c r="J128" s="13">
        <v>1</v>
      </c>
      <c r="K128" s="13">
        <v>1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-1</v>
      </c>
    </row>
    <row r="129" spans="1:45" ht="34" customHeight="1">
      <c r="A129" s="13" t="s">
        <v>328</v>
      </c>
      <c r="B129" s="13" t="s">
        <v>327</v>
      </c>
      <c r="C129" s="13"/>
      <c r="D129" s="13">
        <v>0</v>
      </c>
      <c r="E129" s="13">
        <v>0</v>
      </c>
      <c r="F129" s="13">
        <v>2</v>
      </c>
      <c r="G129" s="13">
        <v>0</v>
      </c>
      <c r="H129" s="13">
        <v>-2</v>
      </c>
      <c r="I129" s="13">
        <v>0</v>
      </c>
      <c r="J129" s="13">
        <v>1</v>
      </c>
      <c r="K129" s="13">
        <v>1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-1</v>
      </c>
    </row>
    <row r="130" spans="1:45" ht="23" customHeight="1">
      <c r="A130" s="13" t="s">
        <v>330</v>
      </c>
      <c r="B130" s="13" t="s">
        <v>331</v>
      </c>
      <c r="C130" s="13" t="s">
        <v>2011</v>
      </c>
      <c r="D130" s="13">
        <v>0</v>
      </c>
      <c r="E130" s="13">
        <v>1</v>
      </c>
      <c r="F130" s="13">
        <v>1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</row>
    <row r="131" spans="1:45" ht="23" customHeight="1">
      <c r="A131" s="13" t="s">
        <v>332</v>
      </c>
      <c r="B131" s="13" t="s">
        <v>333</v>
      </c>
      <c r="C131" s="13" t="s">
        <v>2012</v>
      </c>
      <c r="D131" s="13">
        <v>0</v>
      </c>
      <c r="E131" s="13">
        <v>1</v>
      </c>
      <c r="F131" s="13">
        <v>1</v>
      </c>
      <c r="G131" s="13">
        <v>0</v>
      </c>
      <c r="H131" s="13">
        <v>0</v>
      </c>
      <c r="I131" s="13">
        <v>-1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</row>
    <row r="132" spans="1:45" ht="23" customHeight="1">
      <c r="A132" s="13" t="s">
        <v>334</v>
      </c>
      <c r="B132" s="13" t="s">
        <v>335</v>
      </c>
      <c r="C132" s="13" t="s">
        <v>2013</v>
      </c>
      <c r="D132" s="13">
        <v>0</v>
      </c>
      <c r="E132" s="13">
        <v>1</v>
      </c>
      <c r="F132" s="13">
        <v>2</v>
      </c>
      <c r="G132" s="13">
        <v>0</v>
      </c>
      <c r="H132" s="13">
        <v>-1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-1</v>
      </c>
    </row>
    <row r="133" spans="1:45" ht="20" customHeight="1">
      <c r="A133" s="13" t="s">
        <v>336</v>
      </c>
      <c r="B133" s="13" t="s">
        <v>337</v>
      </c>
      <c r="C133" s="13" t="s">
        <v>2014</v>
      </c>
      <c r="D133" s="13">
        <v>0</v>
      </c>
      <c r="E133" s="13">
        <v>1</v>
      </c>
      <c r="F133" s="13">
        <v>3</v>
      </c>
      <c r="G133" s="13">
        <v>0</v>
      </c>
      <c r="H133" s="13">
        <v>-2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</row>
    <row r="134" spans="1:45" ht="20" customHeight="1">
      <c r="A134" s="13" t="s">
        <v>338</v>
      </c>
      <c r="B134" s="13" t="s">
        <v>339</v>
      </c>
      <c r="C134" s="13" t="s">
        <v>2015</v>
      </c>
      <c r="D134" s="13">
        <v>0</v>
      </c>
      <c r="E134" s="13">
        <v>1</v>
      </c>
      <c r="F134" s="13">
        <v>1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</row>
    <row r="135" spans="1:45" ht="23" customHeight="1">
      <c r="A135" s="13" t="s">
        <v>340</v>
      </c>
      <c r="B135" s="13" t="s">
        <v>341</v>
      </c>
      <c r="C135" s="13" t="s">
        <v>2016</v>
      </c>
      <c r="D135" s="13">
        <v>0</v>
      </c>
      <c r="E135" s="13">
        <v>1</v>
      </c>
      <c r="F135" s="13">
        <v>3</v>
      </c>
      <c r="G135" s="13">
        <v>0</v>
      </c>
      <c r="H135" s="13">
        <v>-2</v>
      </c>
      <c r="I135" s="13">
        <v>-2</v>
      </c>
      <c r="J135" s="13">
        <v>1</v>
      </c>
      <c r="K135" s="13">
        <v>1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-2</v>
      </c>
    </row>
    <row r="136" spans="1:45" ht="20" customHeight="1">
      <c r="A136" s="13" t="s">
        <v>342</v>
      </c>
      <c r="B136" s="13" t="s">
        <v>343</v>
      </c>
      <c r="C136" s="13"/>
      <c r="D136" s="13">
        <v>3</v>
      </c>
      <c r="E136" s="13">
        <v>1</v>
      </c>
      <c r="F136" s="13">
        <v>7</v>
      </c>
      <c r="G136" s="13">
        <v>0</v>
      </c>
      <c r="H136" s="13">
        <v>-6</v>
      </c>
      <c r="I136" s="13">
        <v>0</v>
      </c>
      <c r="J136" s="13">
        <v>0</v>
      </c>
      <c r="K136" s="13">
        <v>1</v>
      </c>
      <c r="L136" s="13">
        <v>0</v>
      </c>
      <c r="M136" s="13">
        <v>-1</v>
      </c>
      <c r="N136" s="13">
        <v>-2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-7</v>
      </c>
    </row>
    <row r="137" spans="1:45" ht="20" customHeight="1">
      <c r="A137" s="13" t="s">
        <v>344</v>
      </c>
      <c r="B137" s="13" t="s">
        <v>345</v>
      </c>
      <c r="C137" s="13"/>
      <c r="D137" s="13">
        <v>0</v>
      </c>
      <c r="E137" s="13">
        <v>1</v>
      </c>
      <c r="F137" s="13">
        <v>3</v>
      </c>
      <c r="G137" s="13">
        <v>0</v>
      </c>
      <c r="H137" s="13">
        <v>-2</v>
      </c>
      <c r="I137" s="13">
        <v>0</v>
      </c>
      <c r="J137" s="13">
        <v>0</v>
      </c>
      <c r="K137" s="13">
        <v>1</v>
      </c>
      <c r="L137" s="13">
        <v>0</v>
      </c>
      <c r="M137" s="13">
        <v>-1</v>
      </c>
      <c r="N137" s="13">
        <v>-2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-3</v>
      </c>
    </row>
    <row r="138" spans="1:45" ht="20" customHeight="1">
      <c r="A138" s="13" t="s">
        <v>346</v>
      </c>
      <c r="B138" s="13" t="s">
        <v>343</v>
      </c>
      <c r="C138" s="13"/>
      <c r="D138" s="13">
        <v>2</v>
      </c>
      <c r="E138" s="13">
        <v>1</v>
      </c>
      <c r="F138" s="13">
        <v>1</v>
      </c>
      <c r="G138" s="13">
        <v>0</v>
      </c>
      <c r="H138" s="13">
        <v>0</v>
      </c>
      <c r="I138" s="13">
        <v>0</v>
      </c>
      <c r="J138" s="13">
        <v>0</v>
      </c>
      <c r="K138" s="13">
        <v>1</v>
      </c>
      <c r="L138" s="13">
        <v>0</v>
      </c>
      <c r="M138" s="13">
        <v>-1</v>
      </c>
      <c r="N138" s="13">
        <v>-4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-1</v>
      </c>
    </row>
    <row r="139" spans="1:45" ht="23" customHeight="1">
      <c r="A139" s="13" t="s">
        <v>347</v>
      </c>
      <c r="B139" s="13" t="s">
        <v>348</v>
      </c>
      <c r="C139" s="13"/>
      <c r="D139" s="13">
        <v>0</v>
      </c>
      <c r="E139" s="13">
        <v>1</v>
      </c>
      <c r="F139" s="13">
        <v>11</v>
      </c>
      <c r="G139" s="13">
        <v>0</v>
      </c>
      <c r="H139" s="13">
        <v>-10</v>
      </c>
      <c r="I139" s="13">
        <v>0</v>
      </c>
      <c r="J139" s="13">
        <v>0</v>
      </c>
      <c r="K139" s="13">
        <v>2</v>
      </c>
      <c r="L139" s="13">
        <v>0</v>
      </c>
      <c r="M139" s="13">
        <v>-2</v>
      </c>
      <c r="N139" s="13">
        <v>-2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-7</v>
      </c>
    </row>
    <row r="140" spans="1:45" ht="20" customHeight="1">
      <c r="A140" s="13" t="s">
        <v>349</v>
      </c>
      <c r="B140" s="13" t="s">
        <v>350</v>
      </c>
      <c r="C140" s="13"/>
      <c r="D140" s="13">
        <v>0</v>
      </c>
      <c r="E140" s="13">
        <v>1</v>
      </c>
      <c r="F140" s="13">
        <v>2</v>
      </c>
      <c r="G140" s="13">
        <v>0</v>
      </c>
      <c r="H140" s="13">
        <v>-1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-1</v>
      </c>
    </row>
    <row r="141" spans="1:45" ht="20" customHeight="1">
      <c r="A141" s="13" t="s">
        <v>351</v>
      </c>
      <c r="B141" s="13" t="s">
        <v>352</v>
      </c>
      <c r="C141" s="13"/>
      <c r="D141" s="13">
        <v>0</v>
      </c>
      <c r="E141" s="13">
        <v>1</v>
      </c>
      <c r="F141" s="13">
        <v>2</v>
      </c>
      <c r="G141" s="13">
        <v>0</v>
      </c>
      <c r="H141" s="13">
        <v>-1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-1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-1</v>
      </c>
    </row>
    <row r="142" spans="1:45" ht="20" customHeight="1">
      <c r="A142" s="13" t="s">
        <v>353</v>
      </c>
      <c r="B142" s="13" t="s">
        <v>354</v>
      </c>
      <c r="C142" s="13"/>
      <c r="D142" s="13">
        <v>0</v>
      </c>
      <c r="E142" s="13">
        <v>1</v>
      </c>
      <c r="F142" s="13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</row>
    <row r="143" spans="1:45" ht="20" customHeight="1">
      <c r="A143" s="13" t="s">
        <v>355</v>
      </c>
      <c r="B143" s="13" t="s">
        <v>356</v>
      </c>
      <c r="C143" s="13"/>
      <c r="D143" s="13">
        <v>0</v>
      </c>
      <c r="E143" s="13">
        <v>1</v>
      </c>
      <c r="F143" s="13">
        <v>1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</row>
    <row r="144" spans="1:45" ht="20" customHeight="1">
      <c r="A144" s="13" t="s">
        <v>357</v>
      </c>
      <c r="B144" s="13" t="s">
        <v>358</v>
      </c>
      <c r="C144" s="13"/>
      <c r="D144" s="13">
        <v>0</v>
      </c>
      <c r="E144" s="13">
        <v>1</v>
      </c>
      <c r="F144" s="13">
        <v>1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</row>
    <row r="145" spans="1:45" ht="20" customHeight="1">
      <c r="A145" s="13" t="s">
        <v>359</v>
      </c>
      <c r="B145" s="13" t="s">
        <v>360</v>
      </c>
      <c r="C145" s="13"/>
      <c r="D145" s="13">
        <v>0</v>
      </c>
      <c r="E145" s="13">
        <v>1</v>
      </c>
      <c r="F145" s="13">
        <v>1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-1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4">
        <v>1</v>
      </c>
    </row>
    <row r="146" spans="1:45" ht="20" customHeight="1">
      <c r="A146" s="13" t="s">
        <v>361</v>
      </c>
      <c r="B146" s="13" t="s">
        <v>362</v>
      </c>
      <c r="C146" s="13" t="s">
        <v>2017</v>
      </c>
      <c r="D146" s="13">
        <v>0</v>
      </c>
      <c r="E146" s="13">
        <v>1</v>
      </c>
      <c r="F146" s="13">
        <v>1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4">
        <v>1</v>
      </c>
    </row>
    <row r="147" spans="1:45" ht="20" customHeight="1">
      <c r="A147" s="13" t="s">
        <v>363</v>
      </c>
      <c r="B147" s="13" t="s">
        <v>364</v>
      </c>
      <c r="C147" s="13"/>
      <c r="D147" s="13">
        <v>2</v>
      </c>
      <c r="E147" s="13">
        <v>1</v>
      </c>
      <c r="F147" s="13">
        <v>1</v>
      </c>
      <c r="G147" s="13">
        <v>0</v>
      </c>
      <c r="H147" s="13">
        <v>0</v>
      </c>
      <c r="I147" s="13">
        <v>-2</v>
      </c>
      <c r="J147" s="13">
        <v>1</v>
      </c>
      <c r="K147" s="13">
        <v>0</v>
      </c>
      <c r="L147" s="13">
        <v>0</v>
      </c>
      <c r="M147" s="14">
        <v>1</v>
      </c>
      <c r="N147" s="13">
        <v>-2</v>
      </c>
      <c r="O147" s="13">
        <v>0</v>
      </c>
      <c r="P147" s="13">
        <v>0</v>
      </c>
      <c r="Q147" s="13">
        <v>0</v>
      </c>
      <c r="R147" s="13">
        <v>0</v>
      </c>
      <c r="S147" s="13">
        <v>-1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4">
        <v>1</v>
      </c>
    </row>
    <row r="148" spans="1:45" ht="34" customHeight="1">
      <c r="A148" s="13" t="s">
        <v>365</v>
      </c>
      <c r="B148" s="13" t="s">
        <v>154</v>
      </c>
      <c r="C148" s="13" t="s">
        <v>2018</v>
      </c>
      <c r="D148" s="13">
        <v>2</v>
      </c>
      <c r="E148" s="13">
        <v>1</v>
      </c>
      <c r="F148" s="13">
        <v>3</v>
      </c>
      <c r="G148" s="13">
        <v>0</v>
      </c>
      <c r="H148" s="13">
        <v>-2</v>
      </c>
      <c r="I148" s="13">
        <v>-12</v>
      </c>
      <c r="J148" s="13">
        <v>0</v>
      </c>
      <c r="K148" s="13">
        <v>1</v>
      </c>
      <c r="L148" s="13">
        <v>0</v>
      </c>
      <c r="M148" s="13">
        <v>-1</v>
      </c>
      <c r="N148" s="13">
        <v>-2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-3</v>
      </c>
    </row>
    <row r="149" spans="1:45" ht="23" customHeight="1">
      <c r="A149" s="13" t="s">
        <v>366</v>
      </c>
      <c r="B149" s="13" t="s">
        <v>367</v>
      </c>
      <c r="C149" s="13"/>
      <c r="D149" s="13">
        <v>0</v>
      </c>
      <c r="E149" s="13">
        <v>1</v>
      </c>
      <c r="F149" s="13">
        <v>2</v>
      </c>
      <c r="G149" s="13">
        <v>0</v>
      </c>
      <c r="H149" s="13">
        <v>-1</v>
      </c>
      <c r="I149" s="13">
        <v>0</v>
      </c>
      <c r="J149" s="13">
        <v>1</v>
      </c>
      <c r="K149" s="13">
        <v>1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-1</v>
      </c>
    </row>
    <row r="150" spans="1:45" ht="23" customHeight="1">
      <c r="A150" s="13" t="s">
        <v>368</v>
      </c>
      <c r="B150" s="13" t="s">
        <v>369</v>
      </c>
      <c r="C150" s="13"/>
      <c r="D150" s="13">
        <v>0</v>
      </c>
      <c r="E150" s="13">
        <v>1</v>
      </c>
      <c r="F150" s="13">
        <v>1</v>
      </c>
      <c r="G150" s="13">
        <v>0</v>
      </c>
      <c r="H150" s="13">
        <v>0</v>
      </c>
      <c r="I150" s="13">
        <v>0</v>
      </c>
      <c r="J150" s="13">
        <v>1</v>
      </c>
      <c r="K150" s="13">
        <v>1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</row>
    <row r="151" spans="1:45" ht="23" customHeight="1">
      <c r="A151" s="13" t="s">
        <v>370</v>
      </c>
      <c r="B151" s="13" t="s">
        <v>369</v>
      </c>
      <c r="C151" s="13"/>
      <c r="D151" s="13">
        <v>0</v>
      </c>
      <c r="E151" s="13">
        <v>1</v>
      </c>
      <c r="F151" s="13">
        <v>2</v>
      </c>
      <c r="G151" s="13">
        <v>0</v>
      </c>
      <c r="H151" s="13">
        <v>-1</v>
      </c>
      <c r="I151" s="13">
        <v>0</v>
      </c>
      <c r="J151" s="13">
        <v>1</v>
      </c>
      <c r="K151" s="13">
        <v>1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-1</v>
      </c>
    </row>
    <row r="152" spans="1:45" ht="23" customHeight="1">
      <c r="A152" s="13" t="s">
        <v>371</v>
      </c>
      <c r="B152" s="13" t="s">
        <v>367</v>
      </c>
      <c r="C152" s="13"/>
      <c r="D152" s="13">
        <v>0</v>
      </c>
      <c r="E152" s="13">
        <v>1</v>
      </c>
      <c r="F152" s="13">
        <v>2</v>
      </c>
      <c r="G152" s="13">
        <v>0</v>
      </c>
      <c r="H152" s="13">
        <v>-1</v>
      </c>
      <c r="I152" s="13">
        <v>0</v>
      </c>
      <c r="J152" s="13">
        <v>1</v>
      </c>
      <c r="K152" s="13">
        <v>1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-1</v>
      </c>
    </row>
    <row r="153" spans="1:45" ht="23" customHeight="1">
      <c r="A153" s="13" t="s">
        <v>372</v>
      </c>
      <c r="B153" s="13" t="s">
        <v>373</v>
      </c>
      <c r="C153" s="13"/>
      <c r="D153" s="13">
        <v>0</v>
      </c>
      <c r="E153" s="13">
        <v>1</v>
      </c>
      <c r="F153" s="13">
        <v>2</v>
      </c>
      <c r="G153" s="13">
        <v>0</v>
      </c>
      <c r="H153" s="13">
        <v>-1</v>
      </c>
      <c r="I153" s="13">
        <v>0</v>
      </c>
      <c r="J153" s="13">
        <v>0</v>
      </c>
      <c r="K153" s="13">
        <v>1</v>
      </c>
      <c r="L153" s="13">
        <v>0</v>
      </c>
      <c r="M153" s="13">
        <v>-1</v>
      </c>
      <c r="N153" s="13">
        <v>-1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-2</v>
      </c>
    </row>
    <row r="154" spans="1:45" ht="23" customHeight="1">
      <c r="A154" s="13" t="s">
        <v>374</v>
      </c>
      <c r="B154" s="13" t="s">
        <v>375</v>
      </c>
      <c r="C154" s="13"/>
      <c r="D154" s="13">
        <v>0</v>
      </c>
      <c r="E154" s="13">
        <v>1</v>
      </c>
      <c r="F154" s="13">
        <v>2</v>
      </c>
      <c r="G154" s="13">
        <v>0</v>
      </c>
      <c r="H154" s="13">
        <v>-1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</row>
    <row r="155" spans="1:45" ht="23" customHeight="1">
      <c r="A155" s="13" t="s">
        <v>376</v>
      </c>
      <c r="B155" s="13" t="s">
        <v>377</v>
      </c>
      <c r="C155" s="13"/>
      <c r="D155" s="13">
        <v>0</v>
      </c>
      <c r="E155" s="13">
        <v>1</v>
      </c>
      <c r="F155" s="13">
        <v>2</v>
      </c>
      <c r="G155" s="13">
        <v>0</v>
      </c>
      <c r="H155" s="13">
        <v>-1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</row>
    <row r="156" spans="1:45" ht="20" customHeight="1">
      <c r="A156" s="13" t="s">
        <v>378</v>
      </c>
      <c r="B156" s="13" t="s">
        <v>379</v>
      </c>
      <c r="C156" s="13" t="s">
        <v>2019</v>
      </c>
      <c r="D156" s="13">
        <v>0</v>
      </c>
      <c r="E156" s="13">
        <v>1</v>
      </c>
      <c r="F156" s="13">
        <v>3</v>
      </c>
      <c r="G156" s="13">
        <v>0</v>
      </c>
      <c r="H156" s="13">
        <v>-2</v>
      </c>
      <c r="I156" s="13">
        <v>-5</v>
      </c>
      <c r="J156" s="13">
        <v>1</v>
      </c>
      <c r="K156" s="13">
        <v>2</v>
      </c>
      <c r="L156" s="13">
        <v>0</v>
      </c>
      <c r="M156" s="13">
        <v>-1</v>
      </c>
      <c r="N156" s="13">
        <v>-5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-3</v>
      </c>
    </row>
    <row r="157" spans="1:45" ht="20" customHeight="1">
      <c r="A157" s="13" t="s">
        <v>380</v>
      </c>
      <c r="B157" s="13" t="s">
        <v>379</v>
      </c>
      <c r="C157" s="13" t="s">
        <v>2020</v>
      </c>
      <c r="D157" s="13">
        <v>0</v>
      </c>
      <c r="E157" s="13">
        <v>2</v>
      </c>
      <c r="F157" s="13">
        <v>17</v>
      </c>
      <c r="G157" s="13">
        <v>0</v>
      </c>
      <c r="H157" s="13">
        <v>-15</v>
      </c>
      <c r="I157" s="13">
        <v>-20</v>
      </c>
      <c r="J157" s="13">
        <v>2</v>
      </c>
      <c r="K157" s="13">
        <v>13</v>
      </c>
      <c r="L157" s="13">
        <v>0</v>
      </c>
      <c r="M157" s="13">
        <v>-11</v>
      </c>
      <c r="N157" s="13">
        <v>-6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-26</v>
      </c>
    </row>
    <row r="158" spans="1:45" ht="58" customHeight="1">
      <c r="A158" s="13" t="s">
        <v>381</v>
      </c>
      <c r="B158" s="13" t="s">
        <v>382</v>
      </c>
      <c r="C158" s="13" t="s">
        <v>2021</v>
      </c>
      <c r="D158" s="13">
        <v>2</v>
      </c>
      <c r="E158" s="13">
        <v>2</v>
      </c>
      <c r="F158" s="13">
        <v>1</v>
      </c>
      <c r="G158" s="13">
        <v>0</v>
      </c>
      <c r="H158" s="14">
        <v>1</v>
      </c>
      <c r="I158" s="13">
        <v>-14</v>
      </c>
      <c r="J158" s="13">
        <v>2</v>
      </c>
      <c r="K158" s="13">
        <v>0</v>
      </c>
      <c r="L158" s="13">
        <v>0</v>
      </c>
      <c r="M158" s="14">
        <v>2</v>
      </c>
      <c r="N158" s="13">
        <v>-10</v>
      </c>
      <c r="O158" s="13">
        <v>0</v>
      </c>
      <c r="P158" s="13">
        <v>0</v>
      </c>
      <c r="Q158" s="13">
        <v>0</v>
      </c>
      <c r="R158" s="13">
        <v>0</v>
      </c>
      <c r="S158" s="13">
        <v>-2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4">
        <v>3</v>
      </c>
    </row>
    <row r="159" spans="1:45" ht="34" customHeight="1">
      <c r="A159" s="13" t="s">
        <v>384</v>
      </c>
      <c r="B159" s="13" t="s">
        <v>385</v>
      </c>
      <c r="C159" s="13" t="s">
        <v>2022</v>
      </c>
      <c r="D159" s="13">
        <v>0</v>
      </c>
      <c r="E159" s="13">
        <v>0</v>
      </c>
      <c r="F159" s="13">
        <v>4</v>
      </c>
      <c r="G159" s="13">
        <v>0</v>
      </c>
      <c r="H159" s="13">
        <v>-4</v>
      </c>
      <c r="I159" s="13">
        <v>-5</v>
      </c>
      <c r="J159" s="13">
        <v>1</v>
      </c>
      <c r="K159" s="13">
        <v>1</v>
      </c>
      <c r="L159" s="13">
        <v>0</v>
      </c>
      <c r="M159" s="13">
        <v>0</v>
      </c>
      <c r="N159" s="13">
        <v>-1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-2</v>
      </c>
    </row>
    <row r="160" spans="1:45" ht="23" customHeight="1">
      <c r="A160" s="13" t="s">
        <v>387</v>
      </c>
      <c r="B160" s="13" t="s">
        <v>388</v>
      </c>
      <c r="C160" s="13"/>
      <c r="D160" s="13">
        <v>0</v>
      </c>
      <c r="E160" s="13">
        <v>1</v>
      </c>
      <c r="F160" s="13">
        <v>2</v>
      </c>
      <c r="G160" s="13">
        <v>0</v>
      </c>
      <c r="H160" s="13">
        <v>-1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</row>
    <row r="161" spans="1:45" ht="20" customHeight="1">
      <c r="A161" s="13" t="s">
        <v>390</v>
      </c>
      <c r="B161" s="13" t="s">
        <v>391</v>
      </c>
      <c r="C161" s="13"/>
      <c r="D161" s="13">
        <v>0</v>
      </c>
      <c r="E161" s="13">
        <v>1</v>
      </c>
      <c r="F161" s="13">
        <v>2</v>
      </c>
      <c r="G161" s="13">
        <v>0</v>
      </c>
      <c r="H161" s="13">
        <v>-1</v>
      </c>
      <c r="I161" s="13">
        <v>-2</v>
      </c>
      <c r="J161" s="13">
        <v>1</v>
      </c>
      <c r="K161" s="13">
        <v>1</v>
      </c>
      <c r="L161" s="13">
        <v>0</v>
      </c>
      <c r="M161" s="13">
        <v>0</v>
      </c>
      <c r="N161" s="13">
        <v>-1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-1</v>
      </c>
    </row>
    <row r="162" spans="1:45" ht="23" customHeight="1">
      <c r="A162" s="13" t="s">
        <v>393</v>
      </c>
      <c r="B162" s="13" t="s">
        <v>394</v>
      </c>
      <c r="C162" s="13"/>
      <c r="D162" s="13">
        <v>0</v>
      </c>
      <c r="E162" s="13">
        <v>1</v>
      </c>
      <c r="F162" s="13">
        <v>1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</row>
    <row r="163" spans="1:45" ht="23" customHeight="1">
      <c r="A163" s="13" t="s">
        <v>396</v>
      </c>
      <c r="B163" s="13" t="s">
        <v>397</v>
      </c>
      <c r="C163" s="13" t="s">
        <v>2023</v>
      </c>
      <c r="D163" s="13">
        <v>0</v>
      </c>
      <c r="E163" s="13">
        <v>1</v>
      </c>
      <c r="F163" s="13">
        <v>3</v>
      </c>
      <c r="G163" s="13">
        <v>0</v>
      </c>
      <c r="H163" s="13">
        <v>-2</v>
      </c>
      <c r="I163" s="13">
        <v>-5</v>
      </c>
      <c r="J163" s="13">
        <v>1</v>
      </c>
      <c r="K163" s="13">
        <v>2</v>
      </c>
      <c r="L163" s="13">
        <v>0</v>
      </c>
      <c r="M163" s="13">
        <v>-1</v>
      </c>
      <c r="N163" s="13">
        <v>-4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-3</v>
      </c>
    </row>
    <row r="164" spans="1:45" ht="23" customHeight="1">
      <c r="A164" s="13" t="s">
        <v>398</v>
      </c>
      <c r="B164" s="13" t="s">
        <v>397</v>
      </c>
      <c r="C164" s="13" t="s">
        <v>2024</v>
      </c>
      <c r="D164" s="13">
        <v>0</v>
      </c>
      <c r="E164" s="13">
        <v>1</v>
      </c>
      <c r="F164" s="13">
        <v>1</v>
      </c>
      <c r="G164" s="13">
        <v>0</v>
      </c>
      <c r="H164" s="13">
        <v>0</v>
      </c>
      <c r="I164" s="13">
        <v>-5</v>
      </c>
      <c r="J164" s="13">
        <v>1</v>
      </c>
      <c r="K164" s="13">
        <v>1</v>
      </c>
      <c r="L164" s="13">
        <v>0</v>
      </c>
      <c r="M164" s="13">
        <v>0</v>
      </c>
      <c r="N164" s="13">
        <v>-2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</row>
    <row r="165" spans="1:45" ht="34" customHeight="1">
      <c r="A165" s="13" t="s">
        <v>399</v>
      </c>
      <c r="B165" s="13" t="s">
        <v>400</v>
      </c>
      <c r="C165" s="13" t="s">
        <v>2025</v>
      </c>
      <c r="D165" s="13">
        <v>1</v>
      </c>
      <c r="E165" s="13">
        <v>1</v>
      </c>
      <c r="F165" s="13">
        <v>5</v>
      </c>
      <c r="G165" s="13">
        <v>0</v>
      </c>
      <c r="H165" s="13">
        <v>-4</v>
      </c>
      <c r="I165" s="13">
        <v>-2</v>
      </c>
      <c r="J165" s="13">
        <v>2</v>
      </c>
      <c r="K165" s="13">
        <v>2</v>
      </c>
      <c r="L165" s="13">
        <v>0</v>
      </c>
      <c r="M165" s="13">
        <v>0</v>
      </c>
      <c r="N165" s="13">
        <v>-4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1</v>
      </c>
      <c r="AP165" s="13">
        <v>0</v>
      </c>
      <c r="AQ165" s="13">
        <v>-1</v>
      </c>
      <c r="AR165" s="13">
        <v>0</v>
      </c>
      <c r="AS165" s="13">
        <v>-5</v>
      </c>
    </row>
    <row r="166" spans="1:45" ht="34" customHeight="1">
      <c r="A166" s="13" t="s">
        <v>401</v>
      </c>
      <c r="B166" s="13" t="s">
        <v>402</v>
      </c>
      <c r="C166" s="13" t="s">
        <v>2026</v>
      </c>
      <c r="D166" s="13">
        <v>1</v>
      </c>
      <c r="E166" s="13">
        <v>1</v>
      </c>
      <c r="F166" s="13">
        <v>3</v>
      </c>
      <c r="G166" s="13">
        <v>0</v>
      </c>
      <c r="H166" s="13">
        <v>-2</v>
      </c>
      <c r="I166" s="13">
        <v>-2</v>
      </c>
      <c r="J166" s="13">
        <v>1</v>
      </c>
      <c r="K166" s="13">
        <v>1</v>
      </c>
      <c r="L166" s="13">
        <v>0</v>
      </c>
      <c r="M166" s="13">
        <v>0</v>
      </c>
      <c r="N166" s="13">
        <v>-1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1</v>
      </c>
      <c r="AP166" s="13">
        <v>0</v>
      </c>
      <c r="AQ166" s="13">
        <v>-1</v>
      </c>
      <c r="AR166" s="13">
        <v>0</v>
      </c>
      <c r="AS166" s="13">
        <v>-3</v>
      </c>
    </row>
    <row r="167" spans="1:45" ht="23" customHeight="1">
      <c r="A167" s="13" t="s">
        <v>403</v>
      </c>
      <c r="B167" s="13" t="s">
        <v>404</v>
      </c>
      <c r="C167" s="13"/>
      <c r="D167" s="13">
        <v>0</v>
      </c>
      <c r="E167" s="13">
        <v>1</v>
      </c>
      <c r="F167" s="13">
        <v>4</v>
      </c>
      <c r="G167" s="13">
        <v>0</v>
      </c>
      <c r="H167" s="13">
        <v>-3</v>
      </c>
      <c r="I167" s="13">
        <v>-1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-1</v>
      </c>
    </row>
    <row r="168" spans="1:45" ht="20" customHeight="1">
      <c r="A168" s="13" t="s">
        <v>406</v>
      </c>
      <c r="B168" s="13" t="s">
        <v>407</v>
      </c>
      <c r="C168" s="13" t="s">
        <v>2027</v>
      </c>
      <c r="D168" s="13">
        <v>0</v>
      </c>
      <c r="E168" s="13">
        <v>0</v>
      </c>
      <c r="F168" s="13">
        <v>1</v>
      </c>
      <c r="G168" s="13">
        <v>0</v>
      </c>
      <c r="H168" s="13">
        <v>-1</v>
      </c>
      <c r="I168" s="13">
        <v>-3</v>
      </c>
      <c r="J168" s="13">
        <v>1</v>
      </c>
      <c r="K168" s="13">
        <v>0</v>
      </c>
      <c r="L168" s="13">
        <v>0</v>
      </c>
      <c r="M168" s="14">
        <v>1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</row>
    <row r="169" spans="1:45" ht="34" customHeight="1">
      <c r="A169" s="13" t="s">
        <v>408</v>
      </c>
      <c r="B169" s="13" t="s">
        <v>409</v>
      </c>
      <c r="C169" s="13"/>
      <c r="D169" s="13">
        <v>0</v>
      </c>
      <c r="E169" s="13">
        <v>1</v>
      </c>
      <c r="F169" s="13">
        <v>3</v>
      </c>
      <c r="G169" s="13">
        <v>0</v>
      </c>
      <c r="H169" s="13">
        <v>-2</v>
      </c>
      <c r="I169" s="13">
        <v>-1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-1</v>
      </c>
    </row>
    <row r="170" spans="1:45" ht="23" customHeight="1">
      <c r="A170" s="13" t="s">
        <v>410</v>
      </c>
      <c r="B170" s="13" t="s">
        <v>411</v>
      </c>
      <c r="C170" s="13" t="s">
        <v>2028</v>
      </c>
      <c r="D170" s="13">
        <v>0</v>
      </c>
      <c r="E170" s="13">
        <v>3</v>
      </c>
      <c r="F170" s="13">
        <v>8</v>
      </c>
      <c r="G170" s="13">
        <v>0</v>
      </c>
      <c r="H170" s="13">
        <v>-5</v>
      </c>
      <c r="I170" s="13">
        <v>-27</v>
      </c>
      <c r="J170" s="13">
        <v>1</v>
      </c>
      <c r="K170" s="13">
        <v>2</v>
      </c>
      <c r="L170" s="13">
        <v>0</v>
      </c>
      <c r="M170" s="13">
        <v>-1</v>
      </c>
      <c r="N170" s="13">
        <v>-4</v>
      </c>
      <c r="O170" s="13">
        <v>0</v>
      </c>
      <c r="P170" s="13">
        <v>0</v>
      </c>
      <c r="Q170" s="13">
        <v>0</v>
      </c>
      <c r="R170" s="13">
        <v>0</v>
      </c>
      <c r="S170" s="13">
        <v>-1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-6</v>
      </c>
    </row>
    <row r="171" spans="1:45" ht="23" customHeight="1">
      <c r="A171" s="13" t="s">
        <v>412</v>
      </c>
      <c r="B171" s="13" t="s">
        <v>259</v>
      </c>
      <c r="C171" s="13"/>
      <c r="D171" s="13">
        <v>0</v>
      </c>
      <c r="E171" s="13">
        <v>1</v>
      </c>
      <c r="F171" s="13">
        <v>1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</row>
    <row r="172" spans="1:45" ht="23" customHeight="1">
      <c r="A172" s="13" t="s">
        <v>413</v>
      </c>
      <c r="B172" s="13" t="s">
        <v>259</v>
      </c>
      <c r="C172" s="13" t="s">
        <v>2029</v>
      </c>
      <c r="D172" s="13">
        <v>0</v>
      </c>
      <c r="E172" s="13">
        <v>1</v>
      </c>
      <c r="F172" s="13">
        <v>1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</row>
    <row r="173" spans="1:45" ht="34" customHeight="1">
      <c r="A173" s="13" t="s">
        <v>414</v>
      </c>
      <c r="B173" s="13" t="s">
        <v>415</v>
      </c>
      <c r="C173" s="13"/>
      <c r="D173" s="13">
        <v>1</v>
      </c>
      <c r="E173" s="13">
        <v>0</v>
      </c>
      <c r="F173" s="13">
        <v>0</v>
      </c>
      <c r="G173" s="13">
        <v>0</v>
      </c>
      <c r="H173" s="13">
        <v>0</v>
      </c>
      <c r="I173" s="13">
        <v>-1</v>
      </c>
      <c r="J173" s="13">
        <v>1</v>
      </c>
      <c r="K173" s="13">
        <v>0</v>
      </c>
      <c r="L173" s="13">
        <v>0</v>
      </c>
      <c r="M173" s="14">
        <v>1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4">
        <v>1</v>
      </c>
    </row>
    <row r="174" spans="1:45" ht="34" customHeight="1">
      <c r="A174" s="13" t="s">
        <v>416</v>
      </c>
      <c r="B174" s="13" t="s">
        <v>259</v>
      </c>
      <c r="C174" s="13" t="s">
        <v>2030</v>
      </c>
      <c r="D174" s="13">
        <v>0</v>
      </c>
      <c r="E174" s="13">
        <v>1</v>
      </c>
      <c r="F174" s="13">
        <v>2</v>
      </c>
      <c r="G174" s="13">
        <v>0</v>
      </c>
      <c r="H174" s="13">
        <v>-1</v>
      </c>
      <c r="I174" s="13">
        <v>0</v>
      </c>
      <c r="J174" s="13">
        <v>0</v>
      </c>
      <c r="K174" s="13">
        <v>1</v>
      </c>
      <c r="L174" s="13">
        <v>0</v>
      </c>
      <c r="M174" s="13">
        <v>-1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-2</v>
      </c>
    </row>
    <row r="175" spans="1:45" ht="23" customHeight="1">
      <c r="A175" s="13" t="s">
        <v>417</v>
      </c>
      <c r="B175" s="13" t="s">
        <v>418</v>
      </c>
      <c r="C175" s="13"/>
      <c r="D175" s="13">
        <v>0</v>
      </c>
      <c r="E175" s="13">
        <v>0</v>
      </c>
      <c r="F175" s="13">
        <v>1</v>
      </c>
      <c r="G175" s="13">
        <v>0</v>
      </c>
      <c r="H175" s="13">
        <v>-1</v>
      </c>
      <c r="I175" s="13">
        <v>0</v>
      </c>
      <c r="J175" s="13">
        <v>1</v>
      </c>
      <c r="K175" s="13">
        <v>1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-1</v>
      </c>
    </row>
    <row r="176" spans="1:45" ht="23" customHeight="1">
      <c r="A176" s="13" t="s">
        <v>420</v>
      </c>
      <c r="B176" s="13" t="s">
        <v>421</v>
      </c>
      <c r="C176" s="13"/>
      <c r="D176" s="13">
        <v>0</v>
      </c>
      <c r="E176" s="13">
        <v>1</v>
      </c>
      <c r="F176" s="13">
        <v>1</v>
      </c>
      <c r="G176" s="13">
        <v>0</v>
      </c>
      <c r="H176" s="13">
        <v>0</v>
      </c>
      <c r="I176" s="13">
        <v>-1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</row>
    <row r="177" spans="1:45" ht="23" customHeight="1">
      <c r="A177" s="13" t="s">
        <v>423</v>
      </c>
      <c r="B177" s="13" t="s">
        <v>424</v>
      </c>
      <c r="C177" s="13"/>
      <c r="D177" s="13">
        <v>0</v>
      </c>
      <c r="E177" s="13">
        <v>1</v>
      </c>
      <c r="F177" s="13">
        <v>1</v>
      </c>
      <c r="G177" s="13">
        <v>0</v>
      </c>
      <c r="H177" s="13">
        <v>0</v>
      </c>
      <c r="I177" s="13">
        <v>-1</v>
      </c>
      <c r="J177" s="13">
        <v>0</v>
      </c>
      <c r="K177" s="13">
        <v>1</v>
      </c>
      <c r="L177" s="13">
        <v>0</v>
      </c>
      <c r="M177" s="13">
        <v>-1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-1</v>
      </c>
    </row>
    <row r="178" spans="1:45" ht="23" customHeight="1">
      <c r="A178" s="13" t="s">
        <v>425</v>
      </c>
      <c r="B178" s="13" t="s">
        <v>426</v>
      </c>
      <c r="C178" s="13" t="s">
        <v>2031</v>
      </c>
      <c r="D178" s="13">
        <v>0</v>
      </c>
      <c r="E178" s="13">
        <v>1</v>
      </c>
      <c r="F178" s="13">
        <v>1</v>
      </c>
      <c r="G178" s="13">
        <v>0</v>
      </c>
      <c r="H178" s="13">
        <v>0</v>
      </c>
      <c r="I178" s="13">
        <v>-5</v>
      </c>
      <c r="J178" s="13">
        <v>1</v>
      </c>
      <c r="K178" s="13">
        <v>1</v>
      </c>
      <c r="L178" s="13">
        <v>0</v>
      </c>
      <c r="M178" s="13">
        <v>0</v>
      </c>
      <c r="N178" s="13">
        <v>-4</v>
      </c>
      <c r="O178" s="13">
        <v>0</v>
      </c>
      <c r="P178" s="13">
        <v>0</v>
      </c>
      <c r="Q178" s="13">
        <v>0</v>
      </c>
      <c r="R178" s="13">
        <v>0</v>
      </c>
      <c r="S178" s="13">
        <v>-1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</row>
    <row r="179" spans="1:45" ht="20" customHeight="1">
      <c r="A179" s="13" t="s">
        <v>428</v>
      </c>
      <c r="B179" s="13" t="s">
        <v>429</v>
      </c>
      <c r="C179" s="13" t="s">
        <v>2032</v>
      </c>
      <c r="D179" s="13">
        <v>0</v>
      </c>
      <c r="E179" s="13">
        <v>1</v>
      </c>
      <c r="F179" s="13">
        <v>1</v>
      </c>
      <c r="G179" s="13">
        <v>0</v>
      </c>
      <c r="H179" s="13">
        <v>0</v>
      </c>
      <c r="I179" s="13">
        <v>-3</v>
      </c>
      <c r="J179" s="13">
        <v>1</v>
      </c>
      <c r="K179" s="13">
        <v>2</v>
      </c>
      <c r="L179" s="13">
        <v>0</v>
      </c>
      <c r="M179" s="13">
        <v>-1</v>
      </c>
      <c r="N179" s="13">
        <v>-5</v>
      </c>
      <c r="O179" s="13">
        <v>0</v>
      </c>
      <c r="P179" s="13">
        <v>0</v>
      </c>
      <c r="Q179" s="13">
        <v>0</v>
      </c>
      <c r="R179" s="13">
        <v>0</v>
      </c>
      <c r="S179" s="13">
        <v>-1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-1</v>
      </c>
    </row>
    <row r="180" spans="1:45" ht="23" customHeight="1">
      <c r="A180" s="13" t="s">
        <v>430</v>
      </c>
      <c r="B180" s="13" t="s">
        <v>431</v>
      </c>
      <c r="C180" s="13" t="s">
        <v>2033</v>
      </c>
      <c r="D180" s="13">
        <v>0</v>
      </c>
      <c r="E180" s="13">
        <v>2</v>
      </c>
      <c r="F180" s="13">
        <v>7</v>
      </c>
      <c r="G180" s="13">
        <v>0</v>
      </c>
      <c r="H180" s="13">
        <v>-5</v>
      </c>
      <c r="I180" s="13">
        <v>-5</v>
      </c>
      <c r="J180" s="13">
        <v>1</v>
      </c>
      <c r="K180" s="13">
        <v>5</v>
      </c>
      <c r="L180" s="13">
        <v>0</v>
      </c>
      <c r="M180" s="13">
        <v>-4</v>
      </c>
      <c r="N180" s="13">
        <v>-5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-9</v>
      </c>
    </row>
    <row r="181" spans="1:45" ht="23" customHeight="1">
      <c r="A181" s="13" t="s">
        <v>432</v>
      </c>
      <c r="B181" s="13" t="s">
        <v>433</v>
      </c>
      <c r="C181" s="13"/>
      <c r="D181" s="13">
        <v>1</v>
      </c>
      <c r="E181" s="13">
        <v>1</v>
      </c>
      <c r="F181" s="13">
        <v>4</v>
      </c>
      <c r="G181" s="13">
        <v>0</v>
      </c>
      <c r="H181" s="13">
        <v>-3</v>
      </c>
      <c r="I181" s="13">
        <v>-8</v>
      </c>
      <c r="J181" s="13">
        <v>1</v>
      </c>
      <c r="K181" s="13">
        <v>2</v>
      </c>
      <c r="L181" s="13">
        <v>0</v>
      </c>
      <c r="M181" s="13">
        <v>-1</v>
      </c>
      <c r="N181" s="13">
        <v>-6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-4</v>
      </c>
    </row>
    <row r="182" spans="1:45" ht="23" customHeight="1">
      <c r="A182" s="13" t="s">
        <v>435</v>
      </c>
      <c r="B182" s="13" t="s">
        <v>436</v>
      </c>
      <c r="C182" s="13"/>
      <c r="D182" s="13">
        <v>0</v>
      </c>
      <c r="E182" s="13">
        <v>1</v>
      </c>
      <c r="F182" s="13">
        <v>1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</row>
    <row r="183" spans="1:45" ht="23" customHeight="1">
      <c r="A183" s="13" t="s">
        <v>438</v>
      </c>
      <c r="B183" s="13" t="s">
        <v>439</v>
      </c>
      <c r="C183" s="13"/>
      <c r="D183" s="13">
        <v>0</v>
      </c>
      <c r="E183" s="13">
        <v>0</v>
      </c>
      <c r="F183" s="13">
        <v>1</v>
      </c>
      <c r="G183" s="13">
        <v>0</v>
      </c>
      <c r="H183" s="13">
        <v>-1</v>
      </c>
      <c r="I183" s="13">
        <v>0</v>
      </c>
      <c r="J183" s="13">
        <v>1</v>
      </c>
      <c r="K183" s="13">
        <v>1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-1</v>
      </c>
    </row>
    <row r="184" spans="1:45" ht="23" customHeight="1">
      <c r="A184" s="13" t="s">
        <v>440</v>
      </c>
      <c r="B184" s="13" t="s">
        <v>441</v>
      </c>
      <c r="C184" s="13"/>
      <c r="D184" s="13">
        <v>0</v>
      </c>
      <c r="E184" s="13">
        <v>0</v>
      </c>
      <c r="F184" s="13">
        <v>9</v>
      </c>
      <c r="G184" s="13">
        <v>0</v>
      </c>
      <c r="H184" s="13">
        <v>-9</v>
      </c>
      <c r="I184" s="13">
        <v>-1</v>
      </c>
      <c r="J184" s="13">
        <v>1</v>
      </c>
      <c r="K184" s="13">
        <v>2</v>
      </c>
      <c r="L184" s="13">
        <v>0</v>
      </c>
      <c r="M184" s="13">
        <v>-1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-10</v>
      </c>
    </row>
    <row r="185" spans="1:45" ht="23" customHeight="1">
      <c r="A185" s="13" t="s">
        <v>442</v>
      </c>
      <c r="B185" s="13" t="s">
        <v>443</v>
      </c>
      <c r="C185" s="13"/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1</v>
      </c>
      <c r="K185" s="13">
        <v>1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</row>
    <row r="186" spans="1:45" ht="20" customHeight="1">
      <c r="A186" s="13" t="s">
        <v>445</v>
      </c>
      <c r="B186" s="13" t="s">
        <v>446</v>
      </c>
      <c r="C186" s="13"/>
      <c r="D186" s="13">
        <v>0</v>
      </c>
      <c r="E186" s="13">
        <v>1</v>
      </c>
      <c r="F186" s="13">
        <v>1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</row>
    <row r="187" spans="1:45" ht="46" customHeight="1">
      <c r="A187" s="13" t="s">
        <v>447</v>
      </c>
      <c r="B187" s="13" t="s">
        <v>448</v>
      </c>
      <c r="C187" s="13" t="s">
        <v>2034</v>
      </c>
      <c r="D187" s="13">
        <v>42</v>
      </c>
      <c r="E187" s="13">
        <v>1</v>
      </c>
      <c r="F187" s="13">
        <v>7</v>
      </c>
      <c r="G187" s="13">
        <v>0</v>
      </c>
      <c r="H187" s="13">
        <v>-6</v>
      </c>
      <c r="I187" s="13">
        <v>-15</v>
      </c>
      <c r="J187" s="13">
        <v>1</v>
      </c>
      <c r="K187" s="13">
        <v>14</v>
      </c>
      <c r="L187" s="13">
        <v>0</v>
      </c>
      <c r="M187" s="13">
        <v>-13</v>
      </c>
      <c r="N187" s="13">
        <v>-20</v>
      </c>
      <c r="O187" s="13">
        <v>0</v>
      </c>
      <c r="P187" s="13">
        <v>2</v>
      </c>
      <c r="Q187" s="13">
        <v>1</v>
      </c>
      <c r="R187" s="13">
        <v>-3</v>
      </c>
      <c r="S187" s="13">
        <v>-2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-22</v>
      </c>
    </row>
    <row r="188" spans="1:45" ht="23" customHeight="1">
      <c r="A188" s="13" t="s">
        <v>450</v>
      </c>
      <c r="B188" s="13" t="s">
        <v>451</v>
      </c>
      <c r="C188" s="13"/>
      <c r="D188" s="13">
        <v>0</v>
      </c>
      <c r="E188" s="13">
        <v>1</v>
      </c>
      <c r="F188" s="13">
        <v>2</v>
      </c>
      <c r="G188" s="13">
        <v>0</v>
      </c>
      <c r="H188" s="13">
        <v>-1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</row>
    <row r="189" spans="1:45" ht="20" customHeight="1">
      <c r="A189" s="13" t="s">
        <v>453</v>
      </c>
      <c r="B189" s="13" t="s">
        <v>454</v>
      </c>
      <c r="C189" s="13"/>
      <c r="D189" s="13">
        <v>2</v>
      </c>
      <c r="E189" s="13">
        <v>2</v>
      </c>
      <c r="F189" s="13">
        <v>1</v>
      </c>
      <c r="G189" s="13">
        <v>0</v>
      </c>
      <c r="H189" s="14">
        <v>1</v>
      </c>
      <c r="I189" s="13">
        <v>-4</v>
      </c>
      <c r="J189" s="13">
        <v>1</v>
      </c>
      <c r="K189" s="13">
        <v>1</v>
      </c>
      <c r="L189" s="13">
        <v>0</v>
      </c>
      <c r="M189" s="13">
        <v>0</v>
      </c>
      <c r="N189" s="13">
        <v>-2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-1</v>
      </c>
      <c r="AS189" s="14">
        <v>1</v>
      </c>
    </row>
    <row r="190" spans="1:45" ht="23" customHeight="1">
      <c r="A190" s="13" t="s">
        <v>455</v>
      </c>
      <c r="B190" s="13" t="s">
        <v>456</v>
      </c>
      <c r="C190" s="13"/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1</v>
      </c>
      <c r="K190" s="13">
        <v>1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</row>
    <row r="191" spans="1:45" ht="20" customHeight="1">
      <c r="A191" s="13" t="s">
        <v>458</v>
      </c>
      <c r="B191" s="13" t="s">
        <v>459</v>
      </c>
      <c r="C191" s="13" t="s">
        <v>2035</v>
      </c>
      <c r="D191" s="13">
        <v>0</v>
      </c>
      <c r="E191" s="13">
        <v>6</v>
      </c>
      <c r="F191" s="13">
        <v>24</v>
      </c>
      <c r="G191" s="13">
        <v>1</v>
      </c>
      <c r="H191" s="13">
        <v>-19</v>
      </c>
      <c r="I191" s="13">
        <v>-342</v>
      </c>
      <c r="J191" s="13">
        <v>5</v>
      </c>
      <c r="K191" s="13">
        <v>7</v>
      </c>
      <c r="L191" s="13">
        <v>0</v>
      </c>
      <c r="M191" s="13">
        <v>-2</v>
      </c>
      <c r="N191" s="13">
        <v>-168</v>
      </c>
      <c r="O191" s="13">
        <v>0</v>
      </c>
      <c r="P191" s="13">
        <v>1</v>
      </c>
      <c r="Q191" s="13">
        <v>0</v>
      </c>
      <c r="R191" s="13">
        <v>-1</v>
      </c>
      <c r="S191" s="13">
        <v>-5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1</v>
      </c>
      <c r="AO191" s="13">
        <v>1</v>
      </c>
      <c r="AP191" s="13">
        <v>0</v>
      </c>
      <c r="AQ191" s="13">
        <v>0</v>
      </c>
      <c r="AR191" s="13">
        <v>0</v>
      </c>
      <c r="AS191" s="13">
        <v>-22</v>
      </c>
    </row>
    <row r="192" spans="1:45" ht="23" customHeight="1">
      <c r="A192" s="13" t="s">
        <v>461</v>
      </c>
      <c r="B192" s="13" t="s">
        <v>462</v>
      </c>
      <c r="C192" s="13" t="s">
        <v>2036</v>
      </c>
      <c r="D192" s="13">
        <v>0</v>
      </c>
      <c r="E192" s="13">
        <v>1</v>
      </c>
      <c r="F192" s="13">
        <v>5</v>
      </c>
      <c r="G192" s="13">
        <v>0</v>
      </c>
      <c r="H192" s="13">
        <v>-4</v>
      </c>
      <c r="I192" s="13">
        <v>-4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</row>
    <row r="193" spans="1:45" ht="20" customHeight="1">
      <c r="A193" s="13" t="s">
        <v>463</v>
      </c>
      <c r="B193" s="13" t="s">
        <v>464</v>
      </c>
      <c r="C193" s="13"/>
      <c r="D193" s="13">
        <v>0</v>
      </c>
      <c r="E193" s="13">
        <v>2</v>
      </c>
      <c r="F193" s="13">
        <v>8</v>
      </c>
      <c r="G193" s="13">
        <v>0</v>
      </c>
      <c r="H193" s="13">
        <v>-6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-6</v>
      </c>
    </row>
    <row r="194" spans="1:45" ht="23" customHeight="1">
      <c r="A194" s="13" t="s">
        <v>466</v>
      </c>
      <c r="B194" s="13" t="s">
        <v>467</v>
      </c>
      <c r="C194" s="13"/>
      <c r="D194" s="13">
        <v>0</v>
      </c>
      <c r="E194" s="13">
        <v>20</v>
      </c>
      <c r="F194" s="13">
        <v>85</v>
      </c>
      <c r="G194" s="13">
        <v>0</v>
      </c>
      <c r="H194" s="13">
        <v>-65</v>
      </c>
      <c r="I194" s="13">
        <v>-34</v>
      </c>
      <c r="J194" s="13">
        <v>2</v>
      </c>
      <c r="K194" s="13">
        <v>18</v>
      </c>
      <c r="L194" s="13">
        <v>0</v>
      </c>
      <c r="M194" s="13">
        <v>-16</v>
      </c>
      <c r="N194" s="13">
        <v>-3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-81</v>
      </c>
    </row>
    <row r="195" spans="1:45" ht="23" customHeight="1">
      <c r="A195" s="13" t="s">
        <v>468</v>
      </c>
      <c r="B195" s="13" t="s">
        <v>467</v>
      </c>
      <c r="C195" s="13"/>
      <c r="D195" s="13">
        <v>0</v>
      </c>
      <c r="E195" s="13">
        <v>4</v>
      </c>
      <c r="F195" s="13">
        <v>102</v>
      </c>
      <c r="G195" s="13">
        <v>6</v>
      </c>
      <c r="H195" s="13">
        <v>-104</v>
      </c>
      <c r="I195" s="13">
        <v>-477</v>
      </c>
      <c r="J195" s="13">
        <v>18</v>
      </c>
      <c r="K195" s="13">
        <v>33</v>
      </c>
      <c r="L195" s="13">
        <v>0</v>
      </c>
      <c r="M195" s="13">
        <v>-15</v>
      </c>
      <c r="N195" s="13">
        <v>-363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5</v>
      </c>
      <c r="U195" s="13">
        <v>8</v>
      </c>
      <c r="V195" s="13">
        <v>0</v>
      </c>
      <c r="W195" s="13">
        <v>-3</v>
      </c>
      <c r="X195" s="13">
        <v>-5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5</v>
      </c>
      <c r="AO195" s="13">
        <v>5</v>
      </c>
      <c r="AP195" s="13">
        <v>0</v>
      </c>
      <c r="AQ195" s="13">
        <v>0</v>
      </c>
      <c r="AR195" s="13">
        <v>-63</v>
      </c>
      <c r="AS195" s="13">
        <v>-122</v>
      </c>
    </row>
    <row r="196" spans="1:45" ht="23" customHeight="1">
      <c r="A196" s="13" t="s">
        <v>470</v>
      </c>
      <c r="B196" s="13" t="s">
        <v>196</v>
      </c>
      <c r="C196" s="13"/>
      <c r="D196" s="13">
        <v>1</v>
      </c>
      <c r="E196" s="13">
        <v>1</v>
      </c>
      <c r="F196" s="13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</row>
    <row r="197" spans="1:45" ht="23" customHeight="1">
      <c r="A197" s="13" t="s">
        <v>472</v>
      </c>
      <c r="B197" s="13" t="s">
        <v>473</v>
      </c>
      <c r="C197" s="13"/>
      <c r="D197" s="13">
        <v>0</v>
      </c>
      <c r="E197" s="13">
        <v>1</v>
      </c>
      <c r="F197" s="13">
        <v>5</v>
      </c>
      <c r="G197" s="13">
        <v>0</v>
      </c>
      <c r="H197" s="13">
        <v>-4</v>
      </c>
      <c r="I197" s="13">
        <v>0</v>
      </c>
      <c r="J197" s="13">
        <v>1</v>
      </c>
      <c r="K197" s="13">
        <v>2</v>
      </c>
      <c r="L197" s="13">
        <v>0</v>
      </c>
      <c r="M197" s="13">
        <v>-1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-2</v>
      </c>
    </row>
    <row r="198" spans="1:45" ht="23" customHeight="1">
      <c r="A198" s="13" t="s">
        <v>474</v>
      </c>
      <c r="B198" s="13" t="s">
        <v>475</v>
      </c>
      <c r="C198" s="13" t="s">
        <v>2037</v>
      </c>
      <c r="D198" s="13">
        <v>0</v>
      </c>
      <c r="E198" s="13">
        <v>5</v>
      </c>
      <c r="F198" s="13">
        <v>20</v>
      </c>
      <c r="G198" s="13">
        <v>1</v>
      </c>
      <c r="H198" s="13">
        <v>-16</v>
      </c>
      <c r="I198" s="13">
        <v>-42</v>
      </c>
      <c r="J198" s="13">
        <v>5</v>
      </c>
      <c r="K198" s="13">
        <v>5</v>
      </c>
      <c r="L198" s="13">
        <v>0</v>
      </c>
      <c r="M198" s="13">
        <v>0</v>
      </c>
      <c r="N198" s="13">
        <v>-27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-15</v>
      </c>
    </row>
    <row r="199" spans="1:45" ht="23" customHeight="1">
      <c r="A199" s="13" t="s">
        <v>476</v>
      </c>
      <c r="B199" s="13" t="s">
        <v>477</v>
      </c>
      <c r="C199" s="13"/>
      <c r="D199" s="13">
        <v>0</v>
      </c>
      <c r="E199" s="13">
        <v>2</v>
      </c>
      <c r="F199" s="13">
        <v>57</v>
      </c>
      <c r="G199" s="13">
        <v>0</v>
      </c>
      <c r="H199" s="13">
        <v>-55</v>
      </c>
      <c r="I199" s="13">
        <v>-7</v>
      </c>
      <c r="J199" s="13">
        <v>2</v>
      </c>
      <c r="K199" s="13">
        <v>2</v>
      </c>
      <c r="L199" s="13">
        <v>0</v>
      </c>
      <c r="M199" s="13">
        <v>0</v>
      </c>
      <c r="N199" s="13">
        <v>-2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1</v>
      </c>
      <c r="AP199" s="13">
        <v>0</v>
      </c>
      <c r="AQ199" s="13">
        <v>-1</v>
      </c>
      <c r="AR199" s="13">
        <v>0</v>
      </c>
      <c r="AS199" s="13">
        <v>-13</v>
      </c>
    </row>
    <row r="200" spans="1:45" ht="34" customHeight="1">
      <c r="A200" s="13" t="s">
        <v>479</v>
      </c>
      <c r="B200" s="13" t="s">
        <v>480</v>
      </c>
      <c r="C200" s="13" t="s">
        <v>2038</v>
      </c>
      <c r="D200" s="13">
        <v>0</v>
      </c>
      <c r="E200" s="13">
        <v>0</v>
      </c>
      <c r="F200" s="13">
        <v>2</v>
      </c>
      <c r="G200" s="13">
        <v>0</v>
      </c>
      <c r="H200" s="13">
        <v>-2</v>
      </c>
      <c r="I200" s="13">
        <v>0</v>
      </c>
      <c r="J200" s="13">
        <v>1</v>
      </c>
      <c r="K200" s="13">
        <v>1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-1</v>
      </c>
    </row>
    <row r="201" spans="1:45" ht="23" customHeight="1">
      <c r="A201" s="13" t="s">
        <v>482</v>
      </c>
      <c r="B201" s="13" t="s">
        <v>483</v>
      </c>
      <c r="C201" s="13"/>
      <c r="D201" s="13">
        <v>0</v>
      </c>
      <c r="E201" s="13">
        <v>1</v>
      </c>
      <c r="F201" s="13">
        <v>1</v>
      </c>
      <c r="G201" s="13">
        <v>0</v>
      </c>
      <c r="H201" s="13">
        <v>0</v>
      </c>
      <c r="I201" s="13">
        <v>-1</v>
      </c>
      <c r="J201" s="13">
        <v>0</v>
      </c>
      <c r="K201" s="13">
        <v>0</v>
      </c>
      <c r="L201" s="13">
        <v>0</v>
      </c>
      <c r="M201" s="13">
        <v>0</v>
      </c>
      <c r="N201" s="13">
        <v>-1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</row>
    <row r="202" spans="1:45" ht="23" customHeight="1">
      <c r="A202" s="13" t="s">
        <v>484</v>
      </c>
      <c r="B202" s="13" t="s">
        <v>485</v>
      </c>
      <c r="C202" s="13"/>
      <c r="D202" s="13">
        <v>0</v>
      </c>
      <c r="E202" s="13">
        <v>1</v>
      </c>
      <c r="F202" s="13">
        <v>1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</row>
    <row r="203" spans="1:45" ht="23" customHeight="1">
      <c r="A203" s="13" t="s">
        <v>486</v>
      </c>
      <c r="B203" s="13" t="s">
        <v>487</v>
      </c>
      <c r="C203" s="13"/>
      <c r="D203" s="13">
        <v>0</v>
      </c>
      <c r="E203" s="13">
        <v>2</v>
      </c>
      <c r="F203" s="13">
        <v>9</v>
      </c>
      <c r="G203" s="13">
        <v>0</v>
      </c>
      <c r="H203" s="13">
        <v>-7</v>
      </c>
      <c r="I203" s="13">
        <v>-4</v>
      </c>
      <c r="J203" s="13">
        <v>2</v>
      </c>
      <c r="K203" s="13">
        <v>2</v>
      </c>
      <c r="L203" s="13">
        <v>0</v>
      </c>
      <c r="M203" s="13">
        <v>0</v>
      </c>
      <c r="N203" s="13">
        <v>-3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1</v>
      </c>
      <c r="AP203" s="13">
        <v>0</v>
      </c>
      <c r="AQ203" s="13">
        <v>-1</v>
      </c>
      <c r="AR203" s="13">
        <v>0</v>
      </c>
      <c r="AS203" s="13">
        <v>-7</v>
      </c>
    </row>
    <row r="204" spans="1:45" ht="23" customHeight="1">
      <c r="A204" s="13" t="s">
        <v>488</v>
      </c>
      <c r="B204" s="13" t="s">
        <v>487</v>
      </c>
      <c r="C204" s="13"/>
      <c r="D204" s="13">
        <v>0</v>
      </c>
      <c r="E204" s="13">
        <v>2</v>
      </c>
      <c r="F204" s="13">
        <v>2</v>
      </c>
      <c r="G204" s="13">
        <v>0</v>
      </c>
      <c r="H204" s="13">
        <v>0</v>
      </c>
      <c r="I204" s="13">
        <v>-2</v>
      </c>
      <c r="J204" s="13">
        <v>1</v>
      </c>
      <c r="K204" s="13">
        <v>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</row>
    <row r="205" spans="1:45" ht="23" customHeight="1">
      <c r="A205" s="13" t="s">
        <v>490</v>
      </c>
      <c r="B205" s="13" t="s">
        <v>491</v>
      </c>
      <c r="C205" s="13" t="s">
        <v>2039</v>
      </c>
      <c r="D205" s="13">
        <v>0</v>
      </c>
      <c r="E205" s="13">
        <v>1</v>
      </c>
      <c r="F205" s="13">
        <v>3</v>
      </c>
      <c r="G205" s="13">
        <v>0</v>
      </c>
      <c r="H205" s="13">
        <v>-2</v>
      </c>
      <c r="I205" s="13">
        <v>0</v>
      </c>
      <c r="J205" s="13">
        <v>1</v>
      </c>
      <c r="K205" s="13">
        <v>1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-2</v>
      </c>
    </row>
    <row r="206" spans="1:45" ht="23" customHeight="1">
      <c r="A206" s="13" t="s">
        <v>492</v>
      </c>
      <c r="B206" s="13" t="s">
        <v>493</v>
      </c>
      <c r="C206" s="13" t="s">
        <v>2040</v>
      </c>
      <c r="D206" s="13">
        <v>0</v>
      </c>
      <c r="E206" s="13">
        <v>1</v>
      </c>
      <c r="F206" s="13">
        <v>3</v>
      </c>
      <c r="G206" s="13">
        <v>0</v>
      </c>
      <c r="H206" s="13">
        <v>-2</v>
      </c>
      <c r="I206" s="13">
        <v>-1</v>
      </c>
      <c r="J206" s="13">
        <v>1</v>
      </c>
      <c r="K206" s="13">
        <v>1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-1</v>
      </c>
    </row>
    <row r="207" spans="1:45" ht="34" customHeight="1">
      <c r="A207" s="13" t="s">
        <v>494</v>
      </c>
      <c r="B207" s="13" t="s">
        <v>495</v>
      </c>
      <c r="C207" s="13"/>
      <c r="D207" s="13">
        <v>0</v>
      </c>
      <c r="E207" s="13">
        <v>1</v>
      </c>
      <c r="F207" s="13">
        <v>1</v>
      </c>
      <c r="G207" s="13">
        <v>0</v>
      </c>
      <c r="H207" s="13">
        <v>0</v>
      </c>
      <c r="I207" s="13">
        <v>0</v>
      </c>
      <c r="J207" s="13">
        <v>0</v>
      </c>
      <c r="K207" s="13">
        <v>1</v>
      </c>
      <c r="L207" s="13">
        <v>0</v>
      </c>
      <c r="M207" s="13">
        <v>-1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-1</v>
      </c>
    </row>
    <row r="208" spans="1:45" ht="23" customHeight="1">
      <c r="A208" s="13" t="s">
        <v>497</v>
      </c>
      <c r="B208" s="13" t="s">
        <v>498</v>
      </c>
      <c r="C208" s="13"/>
      <c r="D208" s="13">
        <v>0</v>
      </c>
      <c r="E208" s="13">
        <v>1</v>
      </c>
      <c r="F208" s="13">
        <v>9</v>
      </c>
      <c r="G208" s="13">
        <v>0</v>
      </c>
      <c r="H208" s="13">
        <v>-8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-8</v>
      </c>
    </row>
    <row r="209" spans="1:45" ht="34" customHeight="1">
      <c r="A209" s="13" t="s">
        <v>499</v>
      </c>
      <c r="B209" s="13" t="s">
        <v>500</v>
      </c>
      <c r="C209" s="13"/>
      <c r="D209" s="13">
        <v>0</v>
      </c>
      <c r="E209" s="13">
        <v>0</v>
      </c>
      <c r="F209" s="13">
        <v>3</v>
      </c>
      <c r="G209" s="13">
        <v>0</v>
      </c>
      <c r="H209" s="13">
        <v>-3</v>
      </c>
      <c r="I209" s="13">
        <v>-1</v>
      </c>
      <c r="J209" s="13">
        <v>1</v>
      </c>
      <c r="K209" s="13">
        <v>1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</row>
    <row r="210" spans="1:45" ht="34" customHeight="1">
      <c r="A210" s="13" t="s">
        <v>501</v>
      </c>
      <c r="B210" s="13" t="s">
        <v>502</v>
      </c>
      <c r="C210" s="13" t="s">
        <v>2041</v>
      </c>
      <c r="D210" s="13">
        <v>0</v>
      </c>
      <c r="E210" s="13">
        <v>0</v>
      </c>
      <c r="F210" s="13">
        <v>3</v>
      </c>
      <c r="G210" s="13">
        <v>0</v>
      </c>
      <c r="H210" s="13">
        <v>-3</v>
      </c>
      <c r="I210" s="13">
        <v>0</v>
      </c>
      <c r="J210" s="13">
        <v>1</v>
      </c>
      <c r="K210" s="13">
        <v>1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-1</v>
      </c>
    </row>
    <row r="211" spans="1:45" ht="23" customHeight="1">
      <c r="A211" s="13" t="s">
        <v>504</v>
      </c>
      <c r="B211" s="13" t="s">
        <v>505</v>
      </c>
      <c r="C211" s="13" t="s">
        <v>2042</v>
      </c>
      <c r="D211" s="13">
        <v>0</v>
      </c>
      <c r="E211" s="13">
        <v>1</v>
      </c>
      <c r="F211" s="13">
        <v>2</v>
      </c>
      <c r="G211" s="13">
        <v>0</v>
      </c>
      <c r="H211" s="13">
        <v>-1</v>
      </c>
      <c r="I211" s="13">
        <v>0</v>
      </c>
      <c r="J211" s="13">
        <v>1</v>
      </c>
      <c r="K211" s="13">
        <v>1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-1</v>
      </c>
    </row>
    <row r="212" spans="1:45" ht="46" customHeight="1">
      <c r="A212" s="13" t="s">
        <v>507</v>
      </c>
      <c r="B212" s="13" t="s">
        <v>508</v>
      </c>
      <c r="C212" s="13" t="s">
        <v>2043</v>
      </c>
      <c r="D212" s="13">
        <v>0</v>
      </c>
      <c r="E212" s="13">
        <v>1</v>
      </c>
      <c r="F212" s="13">
        <v>1</v>
      </c>
      <c r="G212" s="13">
        <v>0</v>
      </c>
      <c r="H212" s="13">
        <v>0</v>
      </c>
      <c r="I212" s="13">
        <v>-1</v>
      </c>
      <c r="J212" s="13">
        <v>0</v>
      </c>
      <c r="K212" s="13">
        <v>1</v>
      </c>
      <c r="L212" s="13">
        <v>0</v>
      </c>
      <c r="M212" s="13">
        <v>-1</v>
      </c>
      <c r="N212" s="13">
        <v>-1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-1</v>
      </c>
    </row>
    <row r="213" spans="1:45" ht="34" customHeight="1">
      <c r="A213" s="13" t="s">
        <v>509</v>
      </c>
      <c r="B213" s="13" t="s">
        <v>510</v>
      </c>
      <c r="C213" s="13" t="s">
        <v>2044</v>
      </c>
      <c r="D213" s="13">
        <v>0</v>
      </c>
      <c r="E213" s="13">
        <v>1</v>
      </c>
      <c r="F213" s="13">
        <v>6</v>
      </c>
      <c r="G213" s="13">
        <v>0</v>
      </c>
      <c r="H213" s="13">
        <v>-5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-5</v>
      </c>
    </row>
    <row r="214" spans="1:45" ht="20" customHeight="1">
      <c r="A214" s="13" t="s">
        <v>511</v>
      </c>
      <c r="B214" s="13" t="s">
        <v>512</v>
      </c>
      <c r="C214" s="13"/>
      <c r="D214" s="13">
        <v>2</v>
      </c>
      <c r="E214" s="13">
        <v>0</v>
      </c>
      <c r="F214" s="13">
        <v>2</v>
      </c>
      <c r="G214" s="13">
        <v>0</v>
      </c>
      <c r="H214" s="13">
        <v>-2</v>
      </c>
      <c r="I214" s="13">
        <v>0</v>
      </c>
      <c r="J214" s="13">
        <v>1</v>
      </c>
      <c r="K214" s="13">
        <v>2</v>
      </c>
      <c r="L214" s="13">
        <v>0</v>
      </c>
      <c r="M214" s="13">
        <v>-1</v>
      </c>
      <c r="N214" s="13">
        <v>-1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-3</v>
      </c>
    </row>
    <row r="215" spans="1:45" ht="20" customHeight="1">
      <c r="A215" s="13" t="s">
        <v>514</v>
      </c>
      <c r="B215" s="13" t="s">
        <v>515</v>
      </c>
      <c r="C215" s="13"/>
      <c r="D215" s="13">
        <v>0</v>
      </c>
      <c r="E215" s="13">
        <v>1</v>
      </c>
      <c r="F215" s="13">
        <v>4</v>
      </c>
      <c r="G215" s="13">
        <v>0</v>
      </c>
      <c r="H215" s="13">
        <v>-3</v>
      </c>
      <c r="I215" s="13">
        <v>-3</v>
      </c>
      <c r="J215" s="13">
        <v>1</v>
      </c>
      <c r="K215" s="13">
        <v>1</v>
      </c>
      <c r="L215" s="13">
        <v>0</v>
      </c>
      <c r="M215" s="13">
        <v>0</v>
      </c>
      <c r="N215" s="13">
        <v>-2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-2</v>
      </c>
    </row>
    <row r="216" spans="1:45" ht="34" customHeight="1">
      <c r="A216" s="13" t="s">
        <v>516</v>
      </c>
      <c r="B216" s="13" t="s">
        <v>517</v>
      </c>
      <c r="C216" s="13"/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1</v>
      </c>
      <c r="K216" s="13">
        <v>1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</row>
    <row r="217" spans="1:45" ht="23" customHeight="1">
      <c r="A217" s="13" t="s">
        <v>519</v>
      </c>
      <c r="B217" s="13" t="s">
        <v>520</v>
      </c>
      <c r="C217" s="13"/>
      <c r="D217" s="13">
        <v>0</v>
      </c>
      <c r="E217" s="13">
        <v>1</v>
      </c>
      <c r="F217" s="13">
        <v>1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</row>
    <row r="218" spans="1:45" ht="20" customHeight="1">
      <c r="A218" s="13" t="s">
        <v>521</v>
      </c>
      <c r="B218" s="13" t="s">
        <v>522</v>
      </c>
      <c r="C218" s="13"/>
      <c r="D218" s="13">
        <v>0</v>
      </c>
      <c r="E218" s="13">
        <v>2</v>
      </c>
      <c r="F218" s="13">
        <v>2</v>
      </c>
      <c r="G218" s="13">
        <v>0</v>
      </c>
      <c r="H218" s="13">
        <v>0</v>
      </c>
      <c r="I218" s="13">
        <v>-3</v>
      </c>
      <c r="J218" s="13">
        <v>2</v>
      </c>
      <c r="K218" s="13">
        <v>3</v>
      </c>
      <c r="L218" s="13">
        <v>0</v>
      </c>
      <c r="M218" s="13">
        <v>-1</v>
      </c>
      <c r="N218" s="13">
        <v>-5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-1</v>
      </c>
    </row>
    <row r="219" spans="1:45" ht="34" customHeight="1">
      <c r="A219" s="13" t="s">
        <v>524</v>
      </c>
      <c r="B219" s="13" t="s">
        <v>525</v>
      </c>
      <c r="C219" s="13"/>
      <c r="D219" s="13">
        <v>0</v>
      </c>
      <c r="E219" s="13">
        <v>1</v>
      </c>
      <c r="F219" s="13">
        <v>2</v>
      </c>
      <c r="G219" s="13">
        <v>0</v>
      </c>
      <c r="H219" s="13">
        <v>-1</v>
      </c>
      <c r="I219" s="13">
        <v>-5</v>
      </c>
      <c r="J219" s="13">
        <v>1</v>
      </c>
      <c r="K219" s="13">
        <v>1</v>
      </c>
      <c r="L219" s="13">
        <v>0</v>
      </c>
      <c r="M219" s="13">
        <v>0</v>
      </c>
      <c r="N219" s="13">
        <v>-3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-1</v>
      </c>
    </row>
    <row r="220" spans="1:45" ht="34" customHeight="1">
      <c r="A220" s="13" t="s">
        <v>526</v>
      </c>
      <c r="B220" s="13" t="s">
        <v>527</v>
      </c>
      <c r="C220" s="13"/>
      <c r="D220" s="13">
        <v>0</v>
      </c>
      <c r="E220" s="13">
        <v>1</v>
      </c>
      <c r="F220" s="13">
        <v>3</v>
      </c>
      <c r="G220" s="13">
        <v>0</v>
      </c>
      <c r="H220" s="13">
        <v>-2</v>
      </c>
      <c r="I220" s="13">
        <v>-1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-1</v>
      </c>
    </row>
    <row r="221" spans="1:45" ht="23" customHeight="1">
      <c r="A221" s="13" t="s">
        <v>529</v>
      </c>
      <c r="B221" s="13" t="s">
        <v>530</v>
      </c>
      <c r="C221" s="13"/>
      <c r="D221" s="13">
        <v>0</v>
      </c>
      <c r="E221" s="13">
        <v>1</v>
      </c>
      <c r="F221" s="13">
        <v>4</v>
      </c>
      <c r="G221" s="13">
        <v>0</v>
      </c>
      <c r="H221" s="13">
        <v>-3</v>
      </c>
      <c r="I221" s="13">
        <v>-13</v>
      </c>
      <c r="J221" s="13">
        <v>1</v>
      </c>
      <c r="K221" s="13">
        <v>1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-3</v>
      </c>
    </row>
    <row r="222" spans="1:45" ht="23" customHeight="1">
      <c r="A222" s="13" t="s">
        <v>531</v>
      </c>
      <c r="B222" s="13" t="s">
        <v>532</v>
      </c>
      <c r="C222" s="13" t="s">
        <v>533</v>
      </c>
      <c r="D222" s="13">
        <v>0</v>
      </c>
      <c r="E222" s="13">
        <v>2</v>
      </c>
      <c r="F222" s="13">
        <v>6</v>
      </c>
      <c r="G222" s="13">
        <v>0</v>
      </c>
      <c r="H222" s="13">
        <v>-4</v>
      </c>
      <c r="I222" s="13">
        <v>-4</v>
      </c>
      <c r="J222" s="13">
        <v>2</v>
      </c>
      <c r="K222" s="13">
        <v>3</v>
      </c>
      <c r="L222" s="13">
        <v>0</v>
      </c>
      <c r="M222" s="13">
        <v>-1</v>
      </c>
      <c r="N222" s="13">
        <v>-2</v>
      </c>
      <c r="O222" s="13">
        <v>0</v>
      </c>
      <c r="P222" s="13">
        <v>1</v>
      </c>
      <c r="Q222" s="13">
        <v>0</v>
      </c>
      <c r="R222" s="13">
        <v>-1</v>
      </c>
      <c r="S222" s="13">
        <v>-2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-5</v>
      </c>
    </row>
    <row r="223" spans="1:45" ht="23" customHeight="1">
      <c r="A223" s="13" t="s">
        <v>533</v>
      </c>
      <c r="B223" s="13" t="s">
        <v>532</v>
      </c>
      <c r="C223" s="13" t="s">
        <v>2045</v>
      </c>
      <c r="D223" s="13">
        <v>0</v>
      </c>
      <c r="E223" s="13">
        <v>2</v>
      </c>
      <c r="F223" s="13">
        <v>7</v>
      </c>
      <c r="G223" s="13">
        <v>0</v>
      </c>
      <c r="H223" s="13">
        <v>-5</v>
      </c>
      <c r="I223" s="13">
        <v>-4</v>
      </c>
      <c r="J223" s="13">
        <v>2</v>
      </c>
      <c r="K223" s="13">
        <v>2</v>
      </c>
      <c r="L223" s="13">
        <v>0</v>
      </c>
      <c r="M223" s="13">
        <v>0</v>
      </c>
      <c r="N223" s="13">
        <v>-2</v>
      </c>
      <c r="O223" s="13">
        <v>0</v>
      </c>
      <c r="P223" s="13">
        <v>1</v>
      </c>
      <c r="Q223" s="13">
        <v>0</v>
      </c>
      <c r="R223" s="13">
        <v>-1</v>
      </c>
      <c r="S223" s="13">
        <v>-2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-5</v>
      </c>
    </row>
    <row r="224" spans="1:45" ht="23" customHeight="1">
      <c r="A224" s="13" t="s">
        <v>535</v>
      </c>
      <c r="B224" s="13" t="s">
        <v>536</v>
      </c>
      <c r="C224" s="13"/>
      <c r="D224" s="13">
        <v>1</v>
      </c>
      <c r="E224" s="13">
        <v>2</v>
      </c>
      <c r="F224" s="13">
        <v>1</v>
      </c>
      <c r="G224" s="13">
        <v>0</v>
      </c>
      <c r="H224" s="14">
        <v>1</v>
      </c>
      <c r="I224" s="13">
        <v>-9</v>
      </c>
      <c r="J224" s="13">
        <v>2</v>
      </c>
      <c r="K224" s="13">
        <v>1</v>
      </c>
      <c r="L224" s="13">
        <v>0</v>
      </c>
      <c r="M224" s="14">
        <v>1</v>
      </c>
      <c r="N224" s="13">
        <v>-1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4">
        <v>2</v>
      </c>
    </row>
    <row r="225" spans="1:45" ht="23" customHeight="1">
      <c r="A225" s="13" t="s">
        <v>538</v>
      </c>
      <c r="B225" s="13" t="s">
        <v>539</v>
      </c>
      <c r="C225" s="13"/>
      <c r="D225" s="13">
        <v>0</v>
      </c>
      <c r="E225" s="13">
        <v>1</v>
      </c>
      <c r="F225" s="13">
        <v>2</v>
      </c>
      <c r="G225" s="13">
        <v>0</v>
      </c>
      <c r="H225" s="13">
        <v>-1</v>
      </c>
      <c r="I225" s="13">
        <v>0</v>
      </c>
      <c r="J225" s="13">
        <v>0</v>
      </c>
      <c r="K225" s="13">
        <v>1</v>
      </c>
      <c r="L225" s="13">
        <v>0</v>
      </c>
      <c r="M225" s="13">
        <v>-1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-2</v>
      </c>
    </row>
    <row r="226" spans="1:45" ht="46" customHeight="1">
      <c r="A226" s="13" t="s">
        <v>541</v>
      </c>
      <c r="B226" s="13" t="s">
        <v>542</v>
      </c>
      <c r="C226" s="13" t="s">
        <v>2046</v>
      </c>
      <c r="D226" s="13">
        <v>0</v>
      </c>
      <c r="E226" s="13">
        <v>10</v>
      </c>
      <c r="F226" s="13">
        <v>14</v>
      </c>
      <c r="G226" s="13">
        <v>0</v>
      </c>
      <c r="H226" s="13">
        <v>-4</v>
      </c>
      <c r="I226" s="13">
        <v>-174</v>
      </c>
      <c r="J226" s="13">
        <v>5</v>
      </c>
      <c r="K226" s="13">
        <v>10</v>
      </c>
      <c r="L226" s="13">
        <v>0</v>
      </c>
      <c r="M226" s="13">
        <v>-5</v>
      </c>
      <c r="N226" s="13">
        <v>-116</v>
      </c>
      <c r="O226" s="13">
        <v>0</v>
      </c>
      <c r="P226" s="13">
        <v>2</v>
      </c>
      <c r="Q226" s="13">
        <v>0</v>
      </c>
      <c r="R226" s="13">
        <v>-2</v>
      </c>
      <c r="S226" s="13">
        <v>0</v>
      </c>
      <c r="T226" s="13">
        <v>2</v>
      </c>
      <c r="U226" s="13">
        <v>1</v>
      </c>
      <c r="V226" s="13">
        <v>0</v>
      </c>
      <c r="W226" s="14">
        <v>1</v>
      </c>
      <c r="X226" s="13">
        <v>0</v>
      </c>
      <c r="Y226" s="13">
        <v>0</v>
      </c>
      <c r="Z226" s="13">
        <v>2</v>
      </c>
      <c r="AA226" s="13">
        <v>0</v>
      </c>
      <c r="AB226" s="13">
        <v>-2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1</v>
      </c>
      <c r="AK226" s="13">
        <v>0</v>
      </c>
      <c r="AL226" s="13">
        <v>-1</v>
      </c>
      <c r="AM226" s="13">
        <v>0</v>
      </c>
      <c r="AN226" s="13">
        <v>2</v>
      </c>
      <c r="AO226" s="13">
        <v>2</v>
      </c>
      <c r="AP226" s="13">
        <v>0</v>
      </c>
      <c r="AQ226" s="13">
        <v>0</v>
      </c>
      <c r="AR226" s="13">
        <v>-6</v>
      </c>
      <c r="AS226" s="13">
        <v>-13</v>
      </c>
    </row>
    <row r="227" spans="1:45" ht="46" customHeight="1">
      <c r="A227" s="13" t="s">
        <v>543</v>
      </c>
      <c r="B227" s="13" t="s">
        <v>544</v>
      </c>
      <c r="C227" s="13" t="s">
        <v>2047</v>
      </c>
      <c r="D227" s="13">
        <v>0</v>
      </c>
      <c r="E227" s="13">
        <v>1</v>
      </c>
      <c r="F227" s="13">
        <v>6</v>
      </c>
      <c r="G227" s="13">
        <v>0</v>
      </c>
      <c r="H227" s="13">
        <v>-5</v>
      </c>
      <c r="I227" s="13">
        <v>-3</v>
      </c>
      <c r="J227" s="13">
        <v>1</v>
      </c>
      <c r="K227" s="13">
        <v>3</v>
      </c>
      <c r="L227" s="13">
        <v>0</v>
      </c>
      <c r="M227" s="13">
        <v>-2</v>
      </c>
      <c r="N227" s="13">
        <v>-3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-7</v>
      </c>
    </row>
    <row r="228" spans="1:45" ht="23" customHeight="1">
      <c r="A228" s="13" t="s">
        <v>545</v>
      </c>
      <c r="B228" s="13" t="s">
        <v>546</v>
      </c>
      <c r="C228" s="13" t="s">
        <v>2048</v>
      </c>
      <c r="D228" s="13">
        <v>0</v>
      </c>
      <c r="E228" s="13">
        <v>1</v>
      </c>
      <c r="F228" s="13">
        <v>2</v>
      </c>
      <c r="G228" s="13">
        <v>0</v>
      </c>
      <c r="H228" s="13">
        <v>-1</v>
      </c>
      <c r="I228" s="13">
        <v>-1</v>
      </c>
      <c r="J228" s="13">
        <v>1</v>
      </c>
      <c r="K228" s="13">
        <v>1</v>
      </c>
      <c r="L228" s="13">
        <v>0</v>
      </c>
      <c r="M228" s="13">
        <v>0</v>
      </c>
      <c r="N228" s="13">
        <v>-1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-1</v>
      </c>
    </row>
    <row r="229" spans="1:45" ht="23" customHeight="1">
      <c r="A229" s="13" t="s">
        <v>548</v>
      </c>
      <c r="B229" s="13" t="s">
        <v>549</v>
      </c>
      <c r="C229" s="13"/>
      <c r="D229" s="13">
        <v>0</v>
      </c>
      <c r="E229" s="13">
        <v>1</v>
      </c>
      <c r="F229" s="13">
        <v>2</v>
      </c>
      <c r="G229" s="13">
        <v>0</v>
      </c>
      <c r="H229" s="13">
        <v>-1</v>
      </c>
      <c r="I229" s="13">
        <v>-1</v>
      </c>
      <c r="J229" s="13">
        <v>0</v>
      </c>
      <c r="K229" s="13">
        <v>1</v>
      </c>
      <c r="L229" s="13">
        <v>0</v>
      </c>
      <c r="M229" s="13">
        <v>-1</v>
      </c>
      <c r="N229" s="13">
        <v>-1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-2</v>
      </c>
    </row>
    <row r="230" spans="1:45" ht="23" customHeight="1">
      <c r="A230" s="13" t="s">
        <v>551</v>
      </c>
      <c r="B230" s="13" t="s">
        <v>552</v>
      </c>
      <c r="C230" s="13"/>
      <c r="D230" s="13">
        <v>65</v>
      </c>
      <c r="E230" s="13">
        <v>1</v>
      </c>
      <c r="F230" s="13">
        <v>0</v>
      </c>
      <c r="G230" s="13">
        <v>0</v>
      </c>
      <c r="H230" s="14">
        <v>1</v>
      </c>
      <c r="I230" s="13">
        <v>-10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4">
        <v>1</v>
      </c>
    </row>
    <row r="231" spans="1:45" ht="20" customHeight="1">
      <c r="A231" s="13" t="s">
        <v>553</v>
      </c>
      <c r="B231" s="13" t="s">
        <v>554</v>
      </c>
      <c r="C231" s="13"/>
      <c r="D231" s="13">
        <v>0</v>
      </c>
      <c r="E231" s="13">
        <v>1</v>
      </c>
      <c r="F231" s="13">
        <v>1</v>
      </c>
      <c r="G231" s="13">
        <v>0</v>
      </c>
      <c r="H231" s="13">
        <v>0</v>
      </c>
      <c r="I231" s="13">
        <v>-1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</row>
    <row r="232" spans="1:45" ht="23" customHeight="1">
      <c r="A232" s="13" t="s">
        <v>556</v>
      </c>
      <c r="B232" s="13" t="s">
        <v>557</v>
      </c>
      <c r="C232" s="13"/>
      <c r="D232" s="13">
        <v>0</v>
      </c>
      <c r="E232" s="13">
        <v>1</v>
      </c>
      <c r="F232" s="13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</row>
    <row r="233" spans="1:45" ht="23" customHeight="1">
      <c r="A233" s="13" t="s">
        <v>558</v>
      </c>
      <c r="B233" s="13" t="s">
        <v>559</v>
      </c>
      <c r="C233" s="13" t="s">
        <v>2049</v>
      </c>
      <c r="D233" s="13">
        <v>0</v>
      </c>
      <c r="E233" s="13">
        <v>1</v>
      </c>
      <c r="F233" s="13">
        <v>1</v>
      </c>
      <c r="G233" s="13">
        <v>0</v>
      </c>
      <c r="H233" s="13">
        <v>0</v>
      </c>
      <c r="I233" s="13">
        <v>-2</v>
      </c>
      <c r="J233" s="13">
        <v>0</v>
      </c>
      <c r="K233" s="13">
        <v>0</v>
      </c>
      <c r="L233" s="13">
        <v>0</v>
      </c>
      <c r="M233" s="13">
        <v>0</v>
      </c>
      <c r="N233" s="13">
        <v>-1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</row>
    <row r="234" spans="1:45" ht="23" customHeight="1">
      <c r="A234" s="13" t="s">
        <v>561</v>
      </c>
      <c r="B234" s="13" t="s">
        <v>562</v>
      </c>
      <c r="C234" s="13" t="s">
        <v>563</v>
      </c>
      <c r="D234" s="13">
        <v>0</v>
      </c>
      <c r="E234" s="13">
        <v>2</v>
      </c>
      <c r="F234" s="13">
        <v>2</v>
      </c>
      <c r="G234" s="13">
        <v>0</v>
      </c>
      <c r="H234" s="13">
        <v>0</v>
      </c>
      <c r="I234" s="13">
        <v>-1</v>
      </c>
      <c r="J234" s="13">
        <v>0</v>
      </c>
      <c r="K234" s="13">
        <v>1</v>
      </c>
      <c r="L234" s="13">
        <v>0</v>
      </c>
      <c r="M234" s="13">
        <v>-1</v>
      </c>
      <c r="N234" s="13">
        <v>-1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-1</v>
      </c>
    </row>
    <row r="235" spans="1:45" ht="23" customHeight="1">
      <c r="A235" s="13" t="s">
        <v>563</v>
      </c>
      <c r="B235" s="13" t="s">
        <v>562</v>
      </c>
      <c r="C235" s="13" t="s">
        <v>561</v>
      </c>
      <c r="D235" s="13">
        <v>0</v>
      </c>
      <c r="E235" s="13">
        <v>1</v>
      </c>
      <c r="F235" s="13">
        <v>2</v>
      </c>
      <c r="G235" s="13">
        <v>0</v>
      </c>
      <c r="H235" s="13">
        <v>-1</v>
      </c>
      <c r="I235" s="13">
        <v>-1</v>
      </c>
      <c r="J235" s="13">
        <v>1</v>
      </c>
      <c r="K235" s="13">
        <v>1</v>
      </c>
      <c r="L235" s="13">
        <v>0</v>
      </c>
      <c r="M235" s="13">
        <v>0</v>
      </c>
      <c r="N235" s="13">
        <v>-1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-1</v>
      </c>
    </row>
    <row r="236" spans="1:45" ht="23" customHeight="1">
      <c r="A236" s="13" t="s">
        <v>564</v>
      </c>
      <c r="B236" s="13" t="s">
        <v>565</v>
      </c>
      <c r="C236" s="13"/>
      <c r="D236" s="13">
        <v>0</v>
      </c>
      <c r="E236" s="13">
        <v>1</v>
      </c>
      <c r="F236" s="13">
        <v>1</v>
      </c>
      <c r="G236" s="13">
        <v>0</v>
      </c>
      <c r="H236" s="13">
        <v>0</v>
      </c>
      <c r="I236" s="13">
        <v>-1</v>
      </c>
      <c r="J236" s="13">
        <v>0</v>
      </c>
      <c r="K236" s="13">
        <v>1</v>
      </c>
      <c r="L236" s="13">
        <v>0</v>
      </c>
      <c r="M236" s="13">
        <v>-1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-1</v>
      </c>
    </row>
    <row r="237" spans="1:45" ht="23" customHeight="1">
      <c r="A237" s="13" t="s">
        <v>566</v>
      </c>
      <c r="B237" s="13" t="s">
        <v>567</v>
      </c>
      <c r="C237" s="13"/>
      <c r="D237" s="13">
        <v>0</v>
      </c>
      <c r="E237" s="13">
        <v>1</v>
      </c>
      <c r="F237" s="13">
        <v>1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</row>
    <row r="238" spans="1:45" ht="23" customHeight="1">
      <c r="A238" s="13" t="s">
        <v>568</v>
      </c>
      <c r="B238" s="13" t="s">
        <v>569</v>
      </c>
      <c r="C238" s="13"/>
      <c r="D238" s="13">
        <v>0</v>
      </c>
      <c r="E238" s="13">
        <v>1</v>
      </c>
      <c r="F238" s="13">
        <v>1</v>
      </c>
      <c r="G238" s="13">
        <v>0</v>
      </c>
      <c r="H238" s="13">
        <v>0</v>
      </c>
      <c r="I238" s="13">
        <v>-1</v>
      </c>
      <c r="J238" s="13">
        <v>1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4">
        <v>1</v>
      </c>
    </row>
    <row r="239" spans="1:45" ht="20" customHeight="1">
      <c r="A239" s="13" t="s">
        <v>571</v>
      </c>
      <c r="B239" s="13" t="s">
        <v>572</v>
      </c>
      <c r="C239" s="13" t="s">
        <v>2050</v>
      </c>
      <c r="D239" s="13">
        <v>50</v>
      </c>
      <c r="E239" s="13">
        <v>9</v>
      </c>
      <c r="F239" s="13">
        <v>12</v>
      </c>
      <c r="G239" s="13">
        <v>0</v>
      </c>
      <c r="H239" s="13">
        <v>-3</v>
      </c>
      <c r="I239" s="13">
        <v>-260</v>
      </c>
      <c r="J239" s="13">
        <v>9</v>
      </c>
      <c r="K239" s="13">
        <v>28</v>
      </c>
      <c r="L239" s="13">
        <v>0</v>
      </c>
      <c r="M239" s="13">
        <v>-19</v>
      </c>
      <c r="N239" s="13">
        <v>-192</v>
      </c>
      <c r="O239" s="13">
        <v>0</v>
      </c>
      <c r="P239" s="13">
        <v>0</v>
      </c>
      <c r="Q239" s="13">
        <v>0</v>
      </c>
      <c r="R239" s="13">
        <v>0</v>
      </c>
      <c r="S239" s="13">
        <v>-2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-22</v>
      </c>
    </row>
    <row r="240" spans="1:45" ht="20" customHeight="1">
      <c r="A240" s="13" t="s">
        <v>574</v>
      </c>
      <c r="B240" s="13" t="s">
        <v>554</v>
      </c>
      <c r="C240" s="13"/>
      <c r="D240" s="13">
        <v>0</v>
      </c>
      <c r="E240" s="13">
        <v>1</v>
      </c>
      <c r="F240" s="13">
        <v>1</v>
      </c>
      <c r="G240" s="13">
        <v>0</v>
      </c>
      <c r="H240" s="13">
        <v>0</v>
      </c>
      <c r="I240" s="13">
        <v>-1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</row>
    <row r="241" spans="1:45" ht="34" customHeight="1">
      <c r="A241" s="13" t="s">
        <v>576</v>
      </c>
      <c r="B241" s="13" t="s">
        <v>577</v>
      </c>
      <c r="C241" s="13"/>
      <c r="D241" s="13">
        <v>0</v>
      </c>
      <c r="E241" s="13">
        <v>1</v>
      </c>
      <c r="F241" s="13">
        <v>2</v>
      </c>
      <c r="G241" s="13">
        <v>0</v>
      </c>
      <c r="H241" s="13">
        <v>-1</v>
      </c>
      <c r="I241" s="13">
        <v>-1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-1</v>
      </c>
    </row>
    <row r="242" spans="1:45" ht="34" customHeight="1">
      <c r="A242" s="13" t="s">
        <v>578</v>
      </c>
      <c r="B242" s="13" t="s">
        <v>579</v>
      </c>
      <c r="C242" s="13" t="s">
        <v>2051</v>
      </c>
      <c r="D242" s="13">
        <v>0</v>
      </c>
      <c r="E242" s="13">
        <v>1</v>
      </c>
      <c r="F242" s="13">
        <v>2</v>
      </c>
      <c r="G242" s="13">
        <v>0</v>
      </c>
      <c r="H242" s="13">
        <v>-1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-1</v>
      </c>
    </row>
    <row r="243" spans="1:45" ht="34" customHeight="1">
      <c r="A243" s="13" t="s">
        <v>581</v>
      </c>
      <c r="B243" s="13" t="s">
        <v>582</v>
      </c>
      <c r="C243" s="13"/>
      <c r="D243" s="13">
        <v>0</v>
      </c>
      <c r="E243" s="13">
        <v>1</v>
      </c>
      <c r="F243" s="13">
        <v>4</v>
      </c>
      <c r="G243" s="13">
        <v>0</v>
      </c>
      <c r="H243" s="13">
        <v>-3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-3</v>
      </c>
    </row>
    <row r="244" spans="1:45" ht="20" customHeight="1">
      <c r="A244" s="13" t="s">
        <v>584</v>
      </c>
      <c r="B244" s="13" t="s">
        <v>585</v>
      </c>
      <c r="C244" s="13" t="s">
        <v>2052</v>
      </c>
      <c r="D244" s="13">
        <v>0</v>
      </c>
      <c r="E244" s="13">
        <v>9</v>
      </c>
      <c r="F244" s="13">
        <v>3</v>
      </c>
      <c r="G244" s="13">
        <v>0</v>
      </c>
      <c r="H244" s="14">
        <v>6</v>
      </c>
      <c r="I244" s="13">
        <v>-7</v>
      </c>
      <c r="J244" s="13">
        <v>1</v>
      </c>
      <c r="K244" s="13">
        <v>3</v>
      </c>
      <c r="L244" s="13">
        <v>0</v>
      </c>
      <c r="M244" s="13">
        <v>-2</v>
      </c>
      <c r="N244" s="13">
        <v>-3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4">
        <v>4</v>
      </c>
    </row>
    <row r="245" spans="1:45" ht="20" customHeight="1">
      <c r="A245" s="13" t="s">
        <v>586</v>
      </c>
      <c r="B245" s="13" t="s">
        <v>585</v>
      </c>
      <c r="C245" s="13" t="s">
        <v>2053</v>
      </c>
      <c r="D245" s="13">
        <v>10</v>
      </c>
      <c r="E245" s="13">
        <v>9</v>
      </c>
      <c r="F245" s="13">
        <v>0</v>
      </c>
      <c r="G245" s="13">
        <v>0</v>
      </c>
      <c r="H245" s="14">
        <v>9</v>
      </c>
      <c r="I245" s="13">
        <v>-24</v>
      </c>
      <c r="J245" s="13">
        <v>1</v>
      </c>
      <c r="K245" s="13">
        <v>1</v>
      </c>
      <c r="L245" s="13">
        <v>0</v>
      </c>
      <c r="M245" s="13">
        <v>0</v>
      </c>
      <c r="N245" s="13">
        <v>-60</v>
      </c>
      <c r="O245" s="13">
        <v>0</v>
      </c>
      <c r="P245" s="13">
        <v>0</v>
      </c>
      <c r="Q245" s="13">
        <v>0</v>
      </c>
      <c r="R245" s="13">
        <v>0</v>
      </c>
      <c r="S245" s="13">
        <v>-1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4">
        <v>9</v>
      </c>
    </row>
    <row r="246" spans="1:45" ht="23" customHeight="1">
      <c r="A246" s="13" t="s">
        <v>588</v>
      </c>
      <c r="B246" s="13" t="s">
        <v>589</v>
      </c>
      <c r="C246" s="13"/>
      <c r="D246" s="13">
        <v>1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1</v>
      </c>
      <c r="K246" s="13">
        <v>3</v>
      </c>
      <c r="L246" s="13">
        <v>0</v>
      </c>
      <c r="M246" s="13">
        <v>-2</v>
      </c>
      <c r="N246" s="13">
        <v>-4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-2</v>
      </c>
    </row>
    <row r="247" spans="1:45" ht="46" customHeight="1">
      <c r="A247" s="13" t="s">
        <v>590</v>
      </c>
      <c r="B247" s="13" t="s">
        <v>591</v>
      </c>
      <c r="C247" s="13" t="s">
        <v>2054</v>
      </c>
      <c r="D247" s="13">
        <v>1</v>
      </c>
      <c r="E247" s="13">
        <v>1</v>
      </c>
      <c r="F247" s="13">
        <v>2</v>
      </c>
      <c r="G247" s="13">
        <v>0</v>
      </c>
      <c r="H247" s="13">
        <v>-1</v>
      </c>
      <c r="I247" s="13">
        <v>-7</v>
      </c>
      <c r="J247" s="13">
        <v>1</v>
      </c>
      <c r="K247" s="13">
        <v>2</v>
      </c>
      <c r="L247" s="13">
        <v>0</v>
      </c>
      <c r="M247" s="13">
        <v>-1</v>
      </c>
      <c r="N247" s="13">
        <v>-5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-2</v>
      </c>
    </row>
    <row r="248" spans="1:45" ht="23" customHeight="1">
      <c r="A248" s="13" t="s">
        <v>592</v>
      </c>
      <c r="B248" s="13" t="s">
        <v>593</v>
      </c>
      <c r="C248" s="13" t="s">
        <v>2055</v>
      </c>
      <c r="D248" s="13">
        <v>2</v>
      </c>
      <c r="E248" s="13">
        <v>1</v>
      </c>
      <c r="F248" s="13">
        <v>1</v>
      </c>
      <c r="G248" s="13">
        <v>0</v>
      </c>
      <c r="H248" s="13">
        <v>0</v>
      </c>
      <c r="I248" s="13">
        <v>-4</v>
      </c>
      <c r="J248" s="13">
        <v>1</v>
      </c>
      <c r="K248" s="13">
        <v>1</v>
      </c>
      <c r="L248" s="13">
        <v>0</v>
      </c>
      <c r="M248" s="13">
        <v>0</v>
      </c>
      <c r="N248" s="13">
        <v>-3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</row>
    <row r="249" spans="1:45" ht="23" customHeight="1">
      <c r="A249" s="13" t="s">
        <v>595</v>
      </c>
      <c r="B249" s="13" t="s">
        <v>596</v>
      </c>
      <c r="C249" s="13"/>
      <c r="D249" s="13">
        <v>0</v>
      </c>
      <c r="E249" s="13">
        <v>1</v>
      </c>
      <c r="F249" s="13">
        <v>0</v>
      </c>
      <c r="G249" s="13">
        <v>0</v>
      </c>
      <c r="H249" s="14">
        <v>1</v>
      </c>
      <c r="I249" s="13">
        <v>0</v>
      </c>
      <c r="J249" s="13">
        <v>0</v>
      </c>
      <c r="K249" s="13">
        <v>1</v>
      </c>
      <c r="L249" s="13">
        <v>0</v>
      </c>
      <c r="M249" s="13">
        <v>-1</v>
      </c>
      <c r="N249" s="13">
        <v>-4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</row>
    <row r="250" spans="1:45" ht="23" customHeight="1">
      <c r="A250" s="13" t="s">
        <v>597</v>
      </c>
      <c r="B250" s="13" t="s">
        <v>598</v>
      </c>
      <c r="C250" s="13" t="s">
        <v>2056</v>
      </c>
      <c r="D250" s="13">
        <v>0</v>
      </c>
      <c r="E250" s="13">
        <v>1</v>
      </c>
      <c r="F250" s="13">
        <v>2</v>
      </c>
      <c r="G250" s="13">
        <v>0</v>
      </c>
      <c r="H250" s="13">
        <v>-1</v>
      </c>
      <c r="I250" s="13">
        <v>-3</v>
      </c>
      <c r="J250" s="13">
        <v>0</v>
      </c>
      <c r="K250" s="13">
        <v>0</v>
      </c>
      <c r="L250" s="13">
        <v>0</v>
      </c>
      <c r="M250" s="13">
        <v>0</v>
      </c>
      <c r="N250" s="13">
        <v>-1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-1</v>
      </c>
    </row>
    <row r="251" spans="1:45" ht="23" customHeight="1">
      <c r="A251" s="13" t="s">
        <v>600</v>
      </c>
      <c r="B251" s="13" t="s">
        <v>601</v>
      </c>
      <c r="C251" s="13" t="s">
        <v>2057</v>
      </c>
      <c r="D251" s="13">
        <v>2</v>
      </c>
      <c r="E251" s="13">
        <v>1</v>
      </c>
      <c r="F251" s="13">
        <v>3</v>
      </c>
      <c r="G251" s="13">
        <v>0</v>
      </c>
      <c r="H251" s="13">
        <v>-2</v>
      </c>
      <c r="I251" s="13">
        <v>0</v>
      </c>
      <c r="J251" s="13">
        <v>1</v>
      </c>
      <c r="K251" s="13">
        <v>2</v>
      </c>
      <c r="L251" s="13">
        <v>0</v>
      </c>
      <c r="M251" s="13">
        <v>-1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-2</v>
      </c>
    </row>
    <row r="252" spans="1:45" ht="34" customHeight="1">
      <c r="A252" s="13" t="s">
        <v>602</v>
      </c>
      <c r="B252" s="13" t="s">
        <v>603</v>
      </c>
      <c r="C252" s="13" t="s">
        <v>2058</v>
      </c>
      <c r="D252" s="13">
        <v>0</v>
      </c>
      <c r="E252" s="13">
        <v>3</v>
      </c>
      <c r="F252" s="13">
        <v>2</v>
      </c>
      <c r="G252" s="13">
        <v>0</v>
      </c>
      <c r="H252" s="14">
        <v>1</v>
      </c>
      <c r="I252" s="13">
        <v>-4</v>
      </c>
      <c r="J252" s="13">
        <v>1</v>
      </c>
      <c r="K252" s="13">
        <v>2</v>
      </c>
      <c r="L252" s="13">
        <v>0</v>
      </c>
      <c r="M252" s="13">
        <v>-1</v>
      </c>
      <c r="N252" s="13">
        <v>-4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-2</v>
      </c>
      <c r="AS252" s="13">
        <v>0</v>
      </c>
    </row>
    <row r="253" spans="1:45" ht="81" customHeight="1">
      <c r="A253" s="13" t="s">
        <v>604</v>
      </c>
      <c r="B253" s="13" t="s">
        <v>582</v>
      </c>
      <c r="C253" s="13" t="s">
        <v>2059</v>
      </c>
      <c r="D253" s="13">
        <v>0</v>
      </c>
      <c r="E253" s="13">
        <v>1</v>
      </c>
      <c r="F253" s="13">
        <v>1</v>
      </c>
      <c r="G253" s="13">
        <v>0</v>
      </c>
      <c r="H253" s="13">
        <v>0</v>
      </c>
      <c r="I253" s="13">
        <v>-2</v>
      </c>
      <c r="J253" s="13">
        <v>1</v>
      </c>
      <c r="K253" s="13">
        <v>1</v>
      </c>
      <c r="L253" s="13">
        <v>0</v>
      </c>
      <c r="M253" s="13">
        <v>0</v>
      </c>
      <c r="N253" s="13">
        <v>-2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</row>
    <row r="254" spans="1:45" ht="23" customHeight="1">
      <c r="A254" s="13" t="s">
        <v>606</v>
      </c>
      <c r="B254" s="13" t="s">
        <v>607</v>
      </c>
      <c r="C254" s="13"/>
      <c r="D254" s="13">
        <v>0</v>
      </c>
      <c r="E254" s="13">
        <v>1</v>
      </c>
      <c r="F254" s="13">
        <v>2</v>
      </c>
      <c r="G254" s="13">
        <v>0</v>
      </c>
      <c r="H254" s="13">
        <v>-1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</row>
    <row r="255" spans="1:45" ht="23" customHeight="1">
      <c r="A255" s="13" t="s">
        <v>608</v>
      </c>
      <c r="B255" s="13" t="s">
        <v>609</v>
      </c>
      <c r="C255" s="13"/>
      <c r="D255" s="13">
        <v>0</v>
      </c>
      <c r="E255" s="13">
        <v>1</v>
      </c>
      <c r="F255" s="13">
        <v>1</v>
      </c>
      <c r="G255" s="13">
        <v>0</v>
      </c>
      <c r="H255" s="13">
        <v>0</v>
      </c>
      <c r="I255" s="13">
        <v>-1</v>
      </c>
      <c r="J255" s="13">
        <v>0</v>
      </c>
      <c r="K255" s="13">
        <v>0</v>
      </c>
      <c r="L255" s="13">
        <v>0</v>
      </c>
      <c r="M255" s="13">
        <v>0</v>
      </c>
      <c r="N255" s="13">
        <v>-1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</row>
    <row r="256" spans="1:45" ht="23" customHeight="1">
      <c r="A256" s="13" t="s">
        <v>611</v>
      </c>
      <c r="B256" s="13" t="s">
        <v>612</v>
      </c>
      <c r="C256" s="13"/>
      <c r="D256" s="13">
        <v>0</v>
      </c>
      <c r="E256" s="13">
        <v>1</v>
      </c>
      <c r="F256" s="13">
        <v>3</v>
      </c>
      <c r="G256" s="13">
        <v>0</v>
      </c>
      <c r="H256" s="13">
        <v>-2</v>
      </c>
      <c r="I256" s="13">
        <v>-1</v>
      </c>
      <c r="J256" s="13">
        <v>1</v>
      </c>
      <c r="K256" s="13">
        <v>2</v>
      </c>
      <c r="L256" s="13">
        <v>0</v>
      </c>
      <c r="M256" s="13">
        <v>-1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-3</v>
      </c>
    </row>
    <row r="257" spans="1:45" ht="23" customHeight="1">
      <c r="A257" s="13" t="s">
        <v>614</v>
      </c>
      <c r="B257" s="13" t="s">
        <v>615</v>
      </c>
      <c r="C257" s="13" t="s">
        <v>2060</v>
      </c>
      <c r="D257" s="13">
        <v>0</v>
      </c>
      <c r="E257" s="13">
        <v>1</v>
      </c>
      <c r="F257" s="13">
        <v>1</v>
      </c>
      <c r="G257" s="13">
        <v>0</v>
      </c>
      <c r="H257" s="13">
        <v>0</v>
      </c>
      <c r="I257" s="13">
        <v>-1</v>
      </c>
      <c r="J257" s="13">
        <v>3</v>
      </c>
      <c r="K257" s="13">
        <v>1</v>
      </c>
      <c r="L257" s="13">
        <v>0</v>
      </c>
      <c r="M257" s="14">
        <v>2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4">
        <v>2</v>
      </c>
    </row>
    <row r="258" spans="1:45" ht="34" customHeight="1">
      <c r="A258" s="13" t="s">
        <v>616</v>
      </c>
      <c r="B258" s="13" t="s">
        <v>617</v>
      </c>
      <c r="C258" s="13" t="s">
        <v>2061</v>
      </c>
      <c r="D258" s="13">
        <v>0</v>
      </c>
      <c r="E258" s="13">
        <v>8</v>
      </c>
      <c r="F258" s="13">
        <v>12</v>
      </c>
      <c r="G258" s="13">
        <v>0</v>
      </c>
      <c r="H258" s="13">
        <v>-4</v>
      </c>
      <c r="I258" s="13">
        <v>-11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-1</v>
      </c>
    </row>
    <row r="259" spans="1:45" ht="23" customHeight="1">
      <c r="A259" s="13" t="s">
        <v>618</v>
      </c>
      <c r="B259" s="13" t="s">
        <v>619</v>
      </c>
      <c r="C259" s="13"/>
      <c r="D259" s="13">
        <v>0</v>
      </c>
      <c r="E259" s="13">
        <v>1</v>
      </c>
      <c r="F259" s="13">
        <v>1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</row>
    <row r="260" spans="1:45" ht="23" customHeight="1">
      <c r="A260" s="13" t="s">
        <v>620</v>
      </c>
      <c r="B260" s="13" t="s">
        <v>621</v>
      </c>
      <c r="C260" s="13"/>
      <c r="D260" s="13">
        <v>0</v>
      </c>
      <c r="E260" s="13">
        <v>1</v>
      </c>
      <c r="F260" s="13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</row>
    <row r="261" spans="1:45" ht="23" customHeight="1">
      <c r="A261" s="13" t="s">
        <v>623</v>
      </c>
      <c r="B261" s="13" t="s">
        <v>624</v>
      </c>
      <c r="C261" s="13" t="s">
        <v>2062</v>
      </c>
      <c r="D261" s="13">
        <v>0</v>
      </c>
      <c r="E261" s="13">
        <v>1</v>
      </c>
      <c r="F261" s="13">
        <v>2</v>
      </c>
      <c r="G261" s="13">
        <v>0</v>
      </c>
      <c r="H261" s="13">
        <v>-1</v>
      </c>
      <c r="I261" s="13">
        <v>-6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</row>
    <row r="262" spans="1:45" ht="23" customHeight="1">
      <c r="A262" s="13" t="s">
        <v>625</v>
      </c>
      <c r="B262" s="13" t="s">
        <v>626</v>
      </c>
      <c r="C262" s="13" t="s">
        <v>2063</v>
      </c>
      <c r="D262" s="13">
        <v>0</v>
      </c>
      <c r="E262" s="13">
        <v>1</v>
      </c>
      <c r="F262" s="13">
        <v>0</v>
      </c>
      <c r="G262" s="13">
        <v>0</v>
      </c>
      <c r="H262" s="14">
        <v>1</v>
      </c>
      <c r="I262" s="13">
        <v>-7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4">
        <v>1</v>
      </c>
    </row>
    <row r="263" spans="1:45" ht="34" customHeight="1">
      <c r="A263" s="13" t="s">
        <v>627</v>
      </c>
      <c r="B263" s="13" t="s">
        <v>628</v>
      </c>
      <c r="C263" s="13" t="s">
        <v>2064</v>
      </c>
      <c r="D263" s="13">
        <v>3</v>
      </c>
      <c r="E263" s="13">
        <v>3</v>
      </c>
      <c r="F263" s="13">
        <v>1</v>
      </c>
      <c r="G263" s="13">
        <v>0</v>
      </c>
      <c r="H263" s="14">
        <v>2</v>
      </c>
      <c r="I263" s="13">
        <v>-21</v>
      </c>
      <c r="J263" s="13">
        <v>1</v>
      </c>
      <c r="K263" s="13">
        <v>0</v>
      </c>
      <c r="L263" s="13">
        <v>0</v>
      </c>
      <c r="M263" s="14">
        <v>1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4">
        <v>3</v>
      </c>
    </row>
    <row r="264" spans="1:45" ht="23" customHeight="1">
      <c r="A264" s="13" t="s">
        <v>629</v>
      </c>
      <c r="B264" s="13" t="s">
        <v>630</v>
      </c>
      <c r="C264" s="13"/>
      <c r="D264" s="13">
        <v>0</v>
      </c>
      <c r="E264" s="13">
        <v>1</v>
      </c>
      <c r="F264" s="13">
        <v>1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</row>
    <row r="265" spans="1:45" ht="23" customHeight="1">
      <c r="A265" s="13" t="s">
        <v>631</v>
      </c>
      <c r="B265" s="13" t="s">
        <v>617</v>
      </c>
      <c r="C265" s="13" t="s">
        <v>2065</v>
      </c>
      <c r="D265" s="13">
        <v>0</v>
      </c>
      <c r="E265" s="13">
        <v>9</v>
      </c>
      <c r="F265" s="13">
        <v>13</v>
      </c>
      <c r="G265" s="13">
        <v>0</v>
      </c>
      <c r="H265" s="13">
        <v>-4</v>
      </c>
      <c r="I265" s="13">
        <v>-36</v>
      </c>
      <c r="J265" s="13">
        <v>9</v>
      </c>
      <c r="K265" s="13">
        <v>13</v>
      </c>
      <c r="L265" s="13">
        <v>0</v>
      </c>
      <c r="M265" s="13">
        <v>-4</v>
      </c>
      <c r="N265" s="13">
        <v>-74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-6</v>
      </c>
      <c r="AS265" s="13">
        <v>-8</v>
      </c>
    </row>
    <row r="266" spans="1:45" ht="23" customHeight="1">
      <c r="A266" s="13" t="s">
        <v>633</v>
      </c>
      <c r="B266" s="13" t="s">
        <v>634</v>
      </c>
      <c r="C266" s="13"/>
      <c r="D266" s="13">
        <v>3</v>
      </c>
      <c r="E266" s="13">
        <v>1</v>
      </c>
      <c r="F266" s="13">
        <v>1</v>
      </c>
      <c r="G266" s="13">
        <v>0</v>
      </c>
      <c r="H266" s="13">
        <v>0</v>
      </c>
      <c r="I266" s="13">
        <v>-1</v>
      </c>
      <c r="J266" s="13">
        <v>1</v>
      </c>
      <c r="K266" s="13">
        <v>1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</row>
    <row r="267" spans="1:45" ht="23" customHeight="1">
      <c r="A267" s="13" t="s">
        <v>635</v>
      </c>
      <c r="B267" s="13" t="s">
        <v>636</v>
      </c>
      <c r="C267" s="13" t="s">
        <v>2066</v>
      </c>
      <c r="D267" s="13">
        <v>26</v>
      </c>
      <c r="E267" s="13">
        <v>1</v>
      </c>
      <c r="F267" s="13">
        <v>10</v>
      </c>
      <c r="G267" s="13">
        <v>0</v>
      </c>
      <c r="H267" s="13">
        <v>-9</v>
      </c>
      <c r="I267" s="13">
        <v>-39</v>
      </c>
      <c r="J267" s="13">
        <v>3</v>
      </c>
      <c r="K267" s="13">
        <v>21</v>
      </c>
      <c r="L267" s="13">
        <v>0</v>
      </c>
      <c r="M267" s="13">
        <v>-18</v>
      </c>
      <c r="N267" s="13">
        <v>-41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-27</v>
      </c>
    </row>
    <row r="268" spans="1:45" ht="34" customHeight="1">
      <c r="A268" s="13" t="s">
        <v>637</v>
      </c>
      <c r="B268" s="13" t="s">
        <v>638</v>
      </c>
      <c r="C268" s="13" t="s">
        <v>2067</v>
      </c>
      <c r="D268" s="13">
        <v>0</v>
      </c>
      <c r="E268" s="13">
        <v>0</v>
      </c>
      <c r="F268" s="13">
        <v>3</v>
      </c>
      <c r="G268" s="13">
        <v>0</v>
      </c>
      <c r="H268" s="13">
        <v>-3</v>
      </c>
      <c r="I268" s="13">
        <v>-11</v>
      </c>
      <c r="J268" s="13">
        <v>1</v>
      </c>
      <c r="K268" s="13">
        <v>2</v>
      </c>
      <c r="L268" s="13">
        <v>0</v>
      </c>
      <c r="M268" s="13">
        <v>-1</v>
      </c>
      <c r="N268" s="13">
        <v>-3</v>
      </c>
      <c r="O268" s="13">
        <v>0</v>
      </c>
      <c r="P268" s="13">
        <v>5</v>
      </c>
      <c r="Q268" s="13">
        <v>0</v>
      </c>
      <c r="R268" s="13">
        <v>-5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-9</v>
      </c>
    </row>
    <row r="269" spans="1:45" ht="34" customHeight="1">
      <c r="A269" s="13" t="s">
        <v>639</v>
      </c>
      <c r="B269" s="13" t="s">
        <v>638</v>
      </c>
      <c r="C269" s="13"/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1</v>
      </c>
      <c r="K269" s="13">
        <v>1</v>
      </c>
      <c r="L269" s="13">
        <v>0</v>
      </c>
      <c r="M269" s="13">
        <v>0</v>
      </c>
      <c r="N269" s="13">
        <v>0</v>
      </c>
      <c r="O269" s="13">
        <v>0</v>
      </c>
      <c r="P269" s="13">
        <v>1</v>
      </c>
      <c r="Q269" s="13">
        <v>0</v>
      </c>
      <c r="R269" s="13">
        <v>-1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-1</v>
      </c>
    </row>
    <row r="270" spans="1:45" ht="34" customHeight="1">
      <c r="A270" s="13" t="s">
        <v>640</v>
      </c>
      <c r="B270" s="13" t="s">
        <v>638</v>
      </c>
      <c r="C270" s="13" t="s">
        <v>2068</v>
      </c>
      <c r="D270" s="13">
        <v>1</v>
      </c>
      <c r="E270" s="13">
        <v>0</v>
      </c>
      <c r="F270" s="13">
        <v>0</v>
      </c>
      <c r="G270" s="13">
        <v>0</v>
      </c>
      <c r="H270" s="13">
        <v>0</v>
      </c>
      <c r="I270" s="13">
        <v>-1</v>
      </c>
      <c r="J270" s="13">
        <v>1</v>
      </c>
      <c r="K270" s="13">
        <v>1</v>
      </c>
      <c r="L270" s="13">
        <v>0</v>
      </c>
      <c r="M270" s="13">
        <v>0</v>
      </c>
      <c r="N270" s="13">
        <v>0</v>
      </c>
      <c r="O270" s="13">
        <v>0</v>
      </c>
      <c r="P270" s="13">
        <v>4</v>
      </c>
      <c r="Q270" s="13">
        <v>0</v>
      </c>
      <c r="R270" s="13">
        <v>-4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-4</v>
      </c>
    </row>
    <row r="271" spans="1:45" ht="34" customHeight="1">
      <c r="A271" s="13" t="s">
        <v>641</v>
      </c>
      <c r="B271" s="13" t="s">
        <v>638</v>
      </c>
      <c r="C271" s="13"/>
      <c r="D271" s="13">
        <v>0</v>
      </c>
      <c r="E271" s="13">
        <v>0</v>
      </c>
      <c r="F271" s="13">
        <v>1</v>
      </c>
      <c r="G271" s="13">
        <v>0</v>
      </c>
      <c r="H271" s="13">
        <v>-1</v>
      </c>
      <c r="I271" s="13">
        <v>-2</v>
      </c>
      <c r="J271" s="13">
        <v>1</v>
      </c>
      <c r="K271" s="13">
        <v>1</v>
      </c>
      <c r="L271" s="13">
        <v>0</v>
      </c>
      <c r="M271" s="13">
        <v>0</v>
      </c>
      <c r="N271" s="13">
        <v>0</v>
      </c>
      <c r="O271" s="13">
        <v>0</v>
      </c>
      <c r="P271" s="13">
        <v>1</v>
      </c>
      <c r="Q271" s="13">
        <v>0</v>
      </c>
      <c r="R271" s="13">
        <v>-1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-2</v>
      </c>
    </row>
    <row r="272" spans="1:45" ht="23" customHeight="1">
      <c r="A272" s="13" t="s">
        <v>642</v>
      </c>
      <c r="B272" s="13" t="s">
        <v>643</v>
      </c>
      <c r="C272" s="13" t="s">
        <v>2069</v>
      </c>
      <c r="D272" s="13">
        <v>0</v>
      </c>
      <c r="E272" s="13">
        <v>1</v>
      </c>
      <c r="F272" s="13">
        <v>0</v>
      </c>
      <c r="G272" s="13">
        <v>0</v>
      </c>
      <c r="H272" s="14">
        <v>1</v>
      </c>
      <c r="I272" s="13">
        <v>0</v>
      </c>
      <c r="J272" s="13">
        <v>2</v>
      </c>
      <c r="K272" s="13">
        <v>0</v>
      </c>
      <c r="L272" s="13">
        <v>0</v>
      </c>
      <c r="M272" s="14">
        <v>2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4">
        <v>3</v>
      </c>
    </row>
    <row r="273" spans="1:45" ht="23" customHeight="1">
      <c r="A273" s="13" t="s">
        <v>644</v>
      </c>
      <c r="B273" s="13" t="s">
        <v>645</v>
      </c>
      <c r="C273" s="13"/>
      <c r="D273" s="13">
        <v>2</v>
      </c>
      <c r="E273" s="13">
        <v>1</v>
      </c>
      <c r="F273" s="13">
        <v>1</v>
      </c>
      <c r="G273" s="13">
        <v>0</v>
      </c>
      <c r="H273" s="13">
        <v>0</v>
      </c>
      <c r="I273" s="13">
        <v>-2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</row>
    <row r="274" spans="1:45" ht="23" customHeight="1">
      <c r="A274" s="13" t="s">
        <v>646</v>
      </c>
      <c r="B274" s="13" t="s">
        <v>647</v>
      </c>
      <c r="C274" s="13"/>
      <c r="D274" s="13">
        <v>0</v>
      </c>
      <c r="E274" s="13">
        <v>1</v>
      </c>
      <c r="F274" s="13">
        <v>7</v>
      </c>
      <c r="G274" s="13">
        <v>0</v>
      </c>
      <c r="H274" s="13">
        <v>-6</v>
      </c>
      <c r="I274" s="13">
        <v>-10</v>
      </c>
      <c r="J274" s="13">
        <v>1</v>
      </c>
      <c r="K274" s="13">
        <v>5</v>
      </c>
      <c r="L274" s="13">
        <v>0</v>
      </c>
      <c r="M274" s="13">
        <v>-4</v>
      </c>
      <c r="N274" s="13">
        <v>-1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-10</v>
      </c>
    </row>
    <row r="275" spans="1:45" ht="20" customHeight="1">
      <c r="A275" s="13" t="s">
        <v>648</v>
      </c>
      <c r="B275" s="13" t="s">
        <v>649</v>
      </c>
      <c r="C275" s="13"/>
      <c r="D275" s="13">
        <v>0</v>
      </c>
      <c r="E275" s="13">
        <v>1</v>
      </c>
      <c r="F275" s="13">
        <v>1</v>
      </c>
      <c r="G275" s="13">
        <v>0</v>
      </c>
      <c r="H275" s="13">
        <v>0</v>
      </c>
      <c r="I275" s="13">
        <v>0</v>
      </c>
      <c r="J275" s="13">
        <v>1</v>
      </c>
      <c r="K275" s="13">
        <v>0</v>
      </c>
      <c r="L275" s="13">
        <v>0</v>
      </c>
      <c r="M275" s="14">
        <v>1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4">
        <v>1</v>
      </c>
    </row>
    <row r="276" spans="1:45" ht="23" customHeight="1">
      <c r="A276" s="13" t="s">
        <v>650</v>
      </c>
      <c r="B276" s="13" t="s">
        <v>651</v>
      </c>
      <c r="C276" s="13" t="s">
        <v>2070</v>
      </c>
      <c r="D276" s="13">
        <v>0</v>
      </c>
      <c r="E276" s="13">
        <v>1</v>
      </c>
      <c r="F276" s="13">
        <v>6</v>
      </c>
      <c r="G276" s="13">
        <v>0</v>
      </c>
      <c r="H276" s="13">
        <v>-5</v>
      </c>
      <c r="I276" s="13">
        <v>-1</v>
      </c>
      <c r="J276" s="13">
        <v>1</v>
      </c>
      <c r="K276" s="13">
        <v>1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-5</v>
      </c>
    </row>
    <row r="277" spans="1:45" ht="23" customHeight="1">
      <c r="A277" s="13" t="s">
        <v>652</v>
      </c>
      <c r="B277" s="13" t="s">
        <v>651</v>
      </c>
      <c r="C277" s="13" t="s">
        <v>2071</v>
      </c>
      <c r="D277" s="13">
        <v>0</v>
      </c>
      <c r="E277" s="13">
        <v>1</v>
      </c>
      <c r="F277" s="13">
        <v>2</v>
      </c>
      <c r="G277" s="13">
        <v>0</v>
      </c>
      <c r="H277" s="13">
        <v>-1</v>
      </c>
      <c r="I277" s="13">
        <v>-2</v>
      </c>
      <c r="J277" s="13">
        <v>1</v>
      </c>
      <c r="K277" s="13">
        <v>2</v>
      </c>
      <c r="L277" s="13">
        <v>0</v>
      </c>
      <c r="M277" s="13">
        <v>-1</v>
      </c>
      <c r="N277" s="13">
        <v>-3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-2</v>
      </c>
    </row>
    <row r="278" spans="1:45" ht="20" customHeight="1">
      <c r="A278" s="13" t="s">
        <v>653</v>
      </c>
      <c r="B278" s="13" t="s">
        <v>554</v>
      </c>
      <c r="C278" s="13"/>
      <c r="D278" s="13">
        <v>0</v>
      </c>
      <c r="E278" s="13">
        <v>1</v>
      </c>
      <c r="F278" s="13">
        <v>2</v>
      </c>
      <c r="G278" s="13">
        <v>0</v>
      </c>
      <c r="H278" s="13">
        <v>-1</v>
      </c>
      <c r="I278" s="13">
        <v>0</v>
      </c>
      <c r="J278" s="13">
        <v>0</v>
      </c>
      <c r="K278" s="13">
        <v>1</v>
      </c>
      <c r="L278" s="13">
        <v>0</v>
      </c>
      <c r="M278" s="13">
        <v>-1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-2</v>
      </c>
    </row>
    <row r="279" spans="1:45" ht="23" customHeight="1">
      <c r="A279" s="13" t="s">
        <v>654</v>
      </c>
      <c r="B279" s="13" t="s">
        <v>655</v>
      </c>
      <c r="C279" s="13" t="s">
        <v>2072</v>
      </c>
      <c r="D279" s="13">
        <v>0</v>
      </c>
      <c r="E279" s="13">
        <v>3</v>
      </c>
      <c r="F279" s="13">
        <v>4</v>
      </c>
      <c r="G279" s="13">
        <v>0</v>
      </c>
      <c r="H279" s="13">
        <v>-1</v>
      </c>
      <c r="I279" s="13">
        <v>-5</v>
      </c>
      <c r="J279" s="13">
        <v>2</v>
      </c>
      <c r="K279" s="13">
        <v>3</v>
      </c>
      <c r="L279" s="13">
        <v>0</v>
      </c>
      <c r="M279" s="13">
        <v>-1</v>
      </c>
      <c r="N279" s="13">
        <v>-5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-2</v>
      </c>
    </row>
    <row r="280" spans="1:45" ht="34" customHeight="1">
      <c r="A280" s="13" t="s">
        <v>657</v>
      </c>
      <c r="B280" s="13" t="s">
        <v>658</v>
      </c>
      <c r="C280" s="13"/>
      <c r="D280" s="13">
        <v>0</v>
      </c>
      <c r="E280" s="13">
        <v>2</v>
      </c>
      <c r="F280" s="13">
        <v>2</v>
      </c>
      <c r="G280" s="13">
        <v>0</v>
      </c>
      <c r="H280" s="13">
        <v>0</v>
      </c>
      <c r="I280" s="13">
        <v>-1</v>
      </c>
      <c r="J280" s="13">
        <v>1</v>
      </c>
      <c r="K280" s="13">
        <v>3</v>
      </c>
      <c r="L280" s="13">
        <v>0</v>
      </c>
      <c r="M280" s="13">
        <v>-2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-2</v>
      </c>
    </row>
    <row r="281" spans="1:45" ht="34" customHeight="1">
      <c r="A281" s="13" t="s">
        <v>659</v>
      </c>
      <c r="B281" s="13" t="s">
        <v>660</v>
      </c>
      <c r="C281" s="13"/>
      <c r="D281" s="13">
        <v>0</v>
      </c>
      <c r="E281" s="13">
        <v>1</v>
      </c>
      <c r="F281" s="13">
        <v>3</v>
      </c>
      <c r="G281" s="13">
        <v>0</v>
      </c>
      <c r="H281" s="13">
        <v>-2</v>
      </c>
      <c r="I281" s="13">
        <v>0</v>
      </c>
      <c r="J281" s="13">
        <v>1</v>
      </c>
      <c r="K281" s="13">
        <v>0</v>
      </c>
      <c r="L281" s="13">
        <v>0</v>
      </c>
      <c r="M281" s="14">
        <v>1</v>
      </c>
      <c r="N281" s="13">
        <v>-2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-1</v>
      </c>
    </row>
    <row r="282" spans="1:45" ht="34" customHeight="1">
      <c r="A282" s="13" t="s">
        <v>661</v>
      </c>
      <c r="B282" s="13" t="s">
        <v>662</v>
      </c>
      <c r="C282" s="13" t="s">
        <v>2073</v>
      </c>
      <c r="D282" s="13">
        <v>1</v>
      </c>
      <c r="E282" s="13">
        <v>2</v>
      </c>
      <c r="F282" s="13">
        <v>2</v>
      </c>
      <c r="G282" s="13">
        <v>0</v>
      </c>
      <c r="H282" s="13">
        <v>0</v>
      </c>
      <c r="I282" s="13">
        <v>-4</v>
      </c>
      <c r="J282" s="13">
        <v>2</v>
      </c>
      <c r="K282" s="13">
        <v>2</v>
      </c>
      <c r="L282" s="13">
        <v>0</v>
      </c>
      <c r="M282" s="13">
        <v>0</v>
      </c>
      <c r="N282" s="13">
        <v>-7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</row>
    <row r="283" spans="1:45" ht="34" customHeight="1">
      <c r="A283" s="13" t="s">
        <v>664</v>
      </c>
      <c r="B283" s="13" t="s">
        <v>665</v>
      </c>
      <c r="C283" s="13" t="s">
        <v>2074</v>
      </c>
      <c r="D283" s="13">
        <v>0</v>
      </c>
      <c r="E283" s="13">
        <v>1</v>
      </c>
      <c r="F283" s="13">
        <v>2</v>
      </c>
      <c r="G283" s="13">
        <v>0</v>
      </c>
      <c r="H283" s="13">
        <v>-1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</row>
    <row r="284" spans="1:45" ht="23" customHeight="1">
      <c r="A284" s="13" t="s">
        <v>667</v>
      </c>
      <c r="B284" s="13" t="s">
        <v>668</v>
      </c>
      <c r="C284" s="13"/>
      <c r="D284" s="13">
        <v>0</v>
      </c>
      <c r="E284" s="13">
        <v>1</v>
      </c>
      <c r="F284" s="13">
        <v>4</v>
      </c>
      <c r="G284" s="13">
        <v>0</v>
      </c>
      <c r="H284" s="13">
        <v>-3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-1</v>
      </c>
    </row>
    <row r="285" spans="1:45" ht="34" customHeight="1">
      <c r="A285" s="13" t="s">
        <v>670</v>
      </c>
      <c r="B285" s="13" t="s">
        <v>671</v>
      </c>
      <c r="C285" s="13"/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1</v>
      </c>
      <c r="K285" s="13">
        <v>1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</row>
    <row r="286" spans="1:45" ht="34" customHeight="1">
      <c r="A286" s="13" t="s">
        <v>672</v>
      </c>
      <c r="B286" s="13" t="s">
        <v>671</v>
      </c>
      <c r="C286" s="13"/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1</v>
      </c>
      <c r="K286" s="13">
        <v>1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</row>
    <row r="287" spans="1:45" ht="23" customHeight="1">
      <c r="A287" s="13" t="s">
        <v>674</v>
      </c>
      <c r="B287" s="13" t="s">
        <v>675</v>
      </c>
      <c r="C287" s="13" t="s">
        <v>2075</v>
      </c>
      <c r="D287" s="13">
        <v>0</v>
      </c>
      <c r="E287" s="13">
        <v>1</v>
      </c>
      <c r="F287" s="13">
        <v>2</v>
      </c>
      <c r="G287" s="13">
        <v>0</v>
      </c>
      <c r="H287" s="13">
        <v>-1</v>
      </c>
      <c r="I287" s="13">
        <v>-1</v>
      </c>
      <c r="J287" s="13">
        <v>1</v>
      </c>
      <c r="K287" s="13">
        <v>2</v>
      </c>
      <c r="L287" s="13">
        <v>0</v>
      </c>
      <c r="M287" s="13">
        <v>-1</v>
      </c>
      <c r="N287" s="13">
        <v>-3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-2</v>
      </c>
    </row>
    <row r="288" spans="1:45" ht="58" customHeight="1">
      <c r="A288" s="13" t="s">
        <v>676</v>
      </c>
      <c r="B288" s="13" t="s">
        <v>677</v>
      </c>
      <c r="C288" s="13" t="s">
        <v>2076</v>
      </c>
      <c r="D288" s="13">
        <v>0</v>
      </c>
      <c r="E288" s="13">
        <v>1</v>
      </c>
      <c r="F288" s="13">
        <v>3</v>
      </c>
      <c r="G288" s="13">
        <v>0</v>
      </c>
      <c r="H288" s="13">
        <v>-2</v>
      </c>
      <c r="I288" s="13">
        <v>0</v>
      </c>
      <c r="J288" s="13">
        <v>1</v>
      </c>
      <c r="K288" s="13">
        <v>4</v>
      </c>
      <c r="L288" s="13">
        <v>0</v>
      </c>
      <c r="M288" s="13">
        <v>-3</v>
      </c>
      <c r="N288" s="13">
        <v>-2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-4</v>
      </c>
    </row>
    <row r="289" spans="1:45" ht="34" customHeight="1">
      <c r="A289" s="13" t="s">
        <v>679</v>
      </c>
      <c r="B289" s="13" t="s">
        <v>680</v>
      </c>
      <c r="C289" s="13"/>
      <c r="D289" s="13">
        <v>1</v>
      </c>
      <c r="E289" s="13">
        <v>4</v>
      </c>
      <c r="F289" s="13">
        <v>53</v>
      </c>
      <c r="G289" s="13">
        <v>0</v>
      </c>
      <c r="H289" s="13">
        <v>-49</v>
      </c>
      <c r="I289" s="13">
        <v>-36</v>
      </c>
      <c r="J289" s="13">
        <v>4</v>
      </c>
      <c r="K289" s="13">
        <v>8</v>
      </c>
      <c r="L289" s="13">
        <v>0</v>
      </c>
      <c r="M289" s="13">
        <v>-4</v>
      </c>
      <c r="N289" s="13">
        <v>-14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1</v>
      </c>
      <c r="V289" s="13">
        <v>0</v>
      </c>
      <c r="W289" s="13">
        <v>-1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-1</v>
      </c>
      <c r="AS289" s="13">
        <v>-53</v>
      </c>
    </row>
    <row r="290" spans="1:45" ht="23" customHeight="1">
      <c r="A290" s="13" t="s">
        <v>681</v>
      </c>
      <c r="B290" s="13" t="s">
        <v>682</v>
      </c>
      <c r="C290" s="13"/>
      <c r="D290" s="13">
        <v>0</v>
      </c>
      <c r="E290" s="13">
        <v>1</v>
      </c>
      <c r="F290" s="13">
        <v>1</v>
      </c>
      <c r="G290" s="13">
        <v>0</v>
      </c>
      <c r="H290" s="13">
        <v>0</v>
      </c>
      <c r="I290" s="13">
        <v>-1</v>
      </c>
      <c r="J290" s="13">
        <v>0</v>
      </c>
      <c r="K290" s="13">
        <v>4</v>
      </c>
      <c r="L290" s="13">
        <v>0</v>
      </c>
      <c r="M290" s="13">
        <v>-4</v>
      </c>
      <c r="N290" s="13">
        <v>-1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</row>
    <row r="291" spans="1:45" ht="23" customHeight="1">
      <c r="A291" s="13" t="s">
        <v>684</v>
      </c>
      <c r="B291" s="13" t="s">
        <v>685</v>
      </c>
      <c r="C291" s="13" t="s">
        <v>2077</v>
      </c>
      <c r="D291" s="13">
        <v>0</v>
      </c>
      <c r="E291" s="13">
        <v>1</v>
      </c>
      <c r="F291" s="13">
        <v>1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</row>
    <row r="292" spans="1:45" ht="34" customHeight="1">
      <c r="A292" s="13" t="s">
        <v>686</v>
      </c>
      <c r="B292" s="13" t="s">
        <v>687</v>
      </c>
      <c r="C292" s="13" t="s">
        <v>2078</v>
      </c>
      <c r="D292" s="13">
        <v>0</v>
      </c>
      <c r="E292" s="13">
        <v>2</v>
      </c>
      <c r="F292" s="13">
        <v>18</v>
      </c>
      <c r="G292" s="13">
        <v>0</v>
      </c>
      <c r="H292" s="13">
        <v>-16</v>
      </c>
      <c r="I292" s="13">
        <v>-353</v>
      </c>
      <c r="J292" s="13">
        <v>4</v>
      </c>
      <c r="K292" s="13">
        <v>11</v>
      </c>
      <c r="L292" s="13">
        <v>0</v>
      </c>
      <c r="M292" s="13">
        <v>-7</v>
      </c>
      <c r="N292" s="13">
        <v>-216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2</v>
      </c>
      <c r="U292" s="13">
        <v>3</v>
      </c>
      <c r="V292" s="13">
        <v>0</v>
      </c>
      <c r="W292" s="13">
        <v>-1</v>
      </c>
      <c r="X292" s="13">
        <v>-5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2</v>
      </c>
      <c r="AO292" s="13">
        <v>2</v>
      </c>
      <c r="AP292" s="13">
        <v>0</v>
      </c>
      <c r="AQ292" s="13">
        <v>0</v>
      </c>
      <c r="AR292" s="13">
        <v>-5</v>
      </c>
      <c r="AS292" s="13">
        <v>-24</v>
      </c>
    </row>
    <row r="293" spans="1:45" ht="46" customHeight="1">
      <c r="A293" s="13" t="s">
        <v>688</v>
      </c>
      <c r="B293" s="13" t="s">
        <v>689</v>
      </c>
      <c r="C293" s="13" t="s">
        <v>2079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1</v>
      </c>
      <c r="K293" s="13">
        <v>1</v>
      </c>
      <c r="L293" s="13">
        <v>0</v>
      </c>
      <c r="M293" s="13">
        <v>0</v>
      </c>
      <c r="N293" s="13">
        <v>-2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</row>
    <row r="294" spans="1:45" ht="23" customHeight="1">
      <c r="A294" s="13" t="s">
        <v>690</v>
      </c>
      <c r="B294" s="13" t="s">
        <v>691</v>
      </c>
      <c r="C294" s="13" t="s">
        <v>2080</v>
      </c>
      <c r="D294" s="13">
        <v>0</v>
      </c>
      <c r="E294" s="13">
        <v>1</v>
      </c>
      <c r="F294" s="13">
        <v>3</v>
      </c>
      <c r="G294" s="13">
        <v>0</v>
      </c>
      <c r="H294" s="13">
        <v>-2</v>
      </c>
      <c r="I294" s="13">
        <v>-4</v>
      </c>
      <c r="J294" s="13">
        <v>0</v>
      </c>
      <c r="K294" s="13">
        <v>1</v>
      </c>
      <c r="L294" s="13">
        <v>0</v>
      </c>
      <c r="M294" s="13">
        <v>-1</v>
      </c>
      <c r="N294" s="13">
        <v>-1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-2</v>
      </c>
    </row>
    <row r="295" spans="1:45" ht="23" customHeight="1">
      <c r="A295" s="13" t="s">
        <v>693</v>
      </c>
      <c r="B295" s="13" t="s">
        <v>694</v>
      </c>
      <c r="C295" s="13"/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-1</v>
      </c>
      <c r="J295" s="13">
        <v>0</v>
      </c>
      <c r="K295" s="13">
        <v>1</v>
      </c>
      <c r="L295" s="13">
        <v>0</v>
      </c>
      <c r="M295" s="13">
        <v>-1</v>
      </c>
      <c r="N295" s="13">
        <v>-3</v>
      </c>
      <c r="O295" s="13">
        <v>0</v>
      </c>
      <c r="P295" s="13">
        <v>1</v>
      </c>
      <c r="Q295" s="13">
        <v>0</v>
      </c>
      <c r="R295" s="13">
        <v>-1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-2</v>
      </c>
    </row>
    <row r="296" spans="1:45" ht="23" customHeight="1">
      <c r="A296" s="13" t="s">
        <v>695</v>
      </c>
      <c r="B296" s="13" t="s">
        <v>696</v>
      </c>
      <c r="C296" s="13"/>
      <c r="D296" s="13">
        <v>0</v>
      </c>
      <c r="E296" s="13">
        <v>1</v>
      </c>
      <c r="F296" s="13">
        <v>1</v>
      </c>
      <c r="G296" s="13">
        <v>0</v>
      </c>
      <c r="H296" s="13">
        <v>0</v>
      </c>
      <c r="I296" s="13">
        <v>-1</v>
      </c>
      <c r="J296" s="13">
        <v>0</v>
      </c>
      <c r="K296" s="13">
        <v>0</v>
      </c>
      <c r="L296" s="13">
        <v>0</v>
      </c>
      <c r="M296" s="13">
        <v>0</v>
      </c>
      <c r="N296" s="13">
        <v>-3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</row>
    <row r="297" spans="1:45" ht="20" customHeight="1">
      <c r="A297" s="13" t="s">
        <v>697</v>
      </c>
      <c r="B297" s="13" t="s">
        <v>698</v>
      </c>
      <c r="C297" s="13" t="s">
        <v>2081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1</v>
      </c>
      <c r="K297" s="13">
        <v>2</v>
      </c>
      <c r="L297" s="13">
        <v>0</v>
      </c>
      <c r="M297" s="13">
        <v>-1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-1</v>
      </c>
    </row>
    <row r="298" spans="1:45" ht="23" customHeight="1">
      <c r="A298" s="13" t="s">
        <v>700</v>
      </c>
      <c r="B298" s="13" t="s">
        <v>701</v>
      </c>
      <c r="C298" s="13"/>
      <c r="D298" s="13">
        <v>0</v>
      </c>
      <c r="E298" s="13">
        <v>0</v>
      </c>
      <c r="F298" s="13">
        <v>1</v>
      </c>
      <c r="G298" s="13">
        <v>0</v>
      </c>
      <c r="H298" s="13">
        <v>-1</v>
      </c>
      <c r="I298" s="13">
        <v>0</v>
      </c>
      <c r="J298" s="13">
        <v>1</v>
      </c>
      <c r="K298" s="13">
        <v>1</v>
      </c>
      <c r="L298" s="13">
        <v>0</v>
      </c>
      <c r="M298" s="13">
        <v>0</v>
      </c>
      <c r="N298" s="13">
        <v>-1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1</v>
      </c>
      <c r="AP298" s="13">
        <v>0</v>
      </c>
      <c r="AQ298" s="13">
        <v>-1</v>
      </c>
      <c r="AR298" s="13">
        <v>0</v>
      </c>
      <c r="AS298" s="13">
        <v>-2</v>
      </c>
    </row>
    <row r="299" spans="1:45" ht="23" customHeight="1">
      <c r="A299" s="13" t="s">
        <v>703</v>
      </c>
      <c r="B299" s="13" t="s">
        <v>704</v>
      </c>
      <c r="C299" s="13"/>
      <c r="D299" s="13">
        <v>0</v>
      </c>
      <c r="E299" s="13">
        <v>2</v>
      </c>
      <c r="F299" s="13">
        <v>1</v>
      </c>
      <c r="G299" s="13">
        <v>0</v>
      </c>
      <c r="H299" s="14">
        <v>1</v>
      </c>
      <c r="I299" s="13">
        <v>-1</v>
      </c>
      <c r="J299" s="13">
        <v>1</v>
      </c>
      <c r="K299" s="13">
        <v>1</v>
      </c>
      <c r="L299" s="13">
        <v>0</v>
      </c>
      <c r="M299" s="13">
        <v>0</v>
      </c>
      <c r="N299" s="13">
        <v>-1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4">
        <v>1</v>
      </c>
    </row>
    <row r="300" spans="1:45" ht="23" customHeight="1">
      <c r="A300" s="13" t="s">
        <v>705</v>
      </c>
      <c r="B300" s="13" t="s">
        <v>706</v>
      </c>
      <c r="C300" s="13"/>
      <c r="D300" s="13">
        <v>0</v>
      </c>
      <c r="E300" s="13">
        <v>3</v>
      </c>
      <c r="F300" s="13">
        <v>2</v>
      </c>
      <c r="G300" s="13">
        <v>0</v>
      </c>
      <c r="H300" s="14">
        <v>1</v>
      </c>
      <c r="I300" s="13">
        <v>-2</v>
      </c>
      <c r="J300" s="13">
        <v>1</v>
      </c>
      <c r="K300" s="13">
        <v>1</v>
      </c>
      <c r="L300" s="13">
        <v>0</v>
      </c>
      <c r="M300" s="13">
        <v>0</v>
      </c>
      <c r="N300" s="13">
        <v>-3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4">
        <v>1</v>
      </c>
    </row>
    <row r="301" spans="1:45" ht="23" customHeight="1">
      <c r="A301" s="13" t="s">
        <v>708</v>
      </c>
      <c r="B301" s="13" t="s">
        <v>709</v>
      </c>
      <c r="C301" s="13"/>
      <c r="D301" s="13">
        <v>1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1</v>
      </c>
      <c r="K301" s="13">
        <v>1</v>
      </c>
      <c r="L301" s="13">
        <v>0</v>
      </c>
      <c r="M301" s="13">
        <v>0</v>
      </c>
      <c r="N301" s="13">
        <v>-2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</row>
    <row r="302" spans="1:45" ht="23" customHeight="1">
      <c r="A302" s="13" t="s">
        <v>710</v>
      </c>
      <c r="B302" s="13" t="s">
        <v>711</v>
      </c>
      <c r="C302" s="13" t="s">
        <v>2082</v>
      </c>
      <c r="D302" s="13">
        <v>0</v>
      </c>
      <c r="E302" s="13">
        <v>1</v>
      </c>
      <c r="F302" s="13">
        <v>1</v>
      </c>
      <c r="G302" s="13">
        <v>0</v>
      </c>
      <c r="H302" s="13">
        <v>0</v>
      </c>
      <c r="I302" s="13">
        <v>0</v>
      </c>
      <c r="J302" s="13">
        <v>1</v>
      </c>
      <c r="K302" s="13">
        <v>1</v>
      </c>
      <c r="L302" s="13">
        <v>0</v>
      </c>
      <c r="M302" s="13">
        <v>0</v>
      </c>
      <c r="N302" s="13">
        <v>-1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</row>
    <row r="303" spans="1:45" ht="23" customHeight="1">
      <c r="A303" s="13" t="s">
        <v>712</v>
      </c>
      <c r="B303" s="13" t="s">
        <v>112</v>
      </c>
      <c r="C303" s="13" t="s">
        <v>2083</v>
      </c>
      <c r="D303" s="13">
        <v>0</v>
      </c>
      <c r="E303" s="13">
        <v>2</v>
      </c>
      <c r="F303" s="13">
        <v>5</v>
      </c>
      <c r="G303" s="13">
        <v>0</v>
      </c>
      <c r="H303" s="13">
        <v>-3</v>
      </c>
      <c r="I303" s="13">
        <v>0</v>
      </c>
      <c r="J303" s="13">
        <v>1</v>
      </c>
      <c r="K303" s="13">
        <v>12</v>
      </c>
      <c r="L303" s="13">
        <v>0</v>
      </c>
      <c r="M303" s="13">
        <v>-11</v>
      </c>
      <c r="N303" s="13">
        <v>-4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2</v>
      </c>
      <c r="AP303" s="13">
        <v>0</v>
      </c>
      <c r="AQ303" s="13">
        <v>-2</v>
      </c>
      <c r="AR303" s="13">
        <v>0</v>
      </c>
      <c r="AS303" s="13">
        <v>-16</v>
      </c>
    </row>
    <row r="304" spans="1:45" ht="34" customHeight="1">
      <c r="A304" s="13" t="s">
        <v>714</v>
      </c>
      <c r="B304" s="13" t="s">
        <v>715</v>
      </c>
      <c r="C304" s="13" t="s">
        <v>2084</v>
      </c>
      <c r="D304" s="13">
        <v>1</v>
      </c>
      <c r="E304" s="13">
        <v>1</v>
      </c>
      <c r="F304" s="13">
        <v>1</v>
      </c>
      <c r="G304" s="13">
        <v>0</v>
      </c>
      <c r="H304" s="13">
        <v>0</v>
      </c>
      <c r="I304" s="13">
        <v>0</v>
      </c>
      <c r="J304" s="13">
        <v>0</v>
      </c>
      <c r="K304" s="13">
        <v>1</v>
      </c>
      <c r="L304" s="13">
        <v>0</v>
      </c>
      <c r="M304" s="13">
        <v>-1</v>
      </c>
      <c r="N304" s="13">
        <v>-3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-1</v>
      </c>
    </row>
    <row r="305" spans="1:45" ht="23" customHeight="1">
      <c r="A305" s="13" t="s">
        <v>716</v>
      </c>
      <c r="B305" s="13" t="s">
        <v>717</v>
      </c>
      <c r="C305" s="13"/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1</v>
      </c>
      <c r="K305" s="13">
        <v>0</v>
      </c>
      <c r="L305" s="13">
        <v>0</v>
      </c>
      <c r="M305" s="14">
        <v>1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4">
        <v>1</v>
      </c>
    </row>
    <row r="306" spans="1:45" ht="23" customHeight="1">
      <c r="A306" s="13" t="s">
        <v>719</v>
      </c>
      <c r="B306" s="13" t="s">
        <v>720</v>
      </c>
      <c r="C306" s="13" t="s">
        <v>2085</v>
      </c>
      <c r="D306" s="13">
        <v>0</v>
      </c>
      <c r="E306" s="13">
        <v>1</v>
      </c>
      <c r="F306" s="13">
        <v>3</v>
      </c>
      <c r="G306" s="13">
        <v>0</v>
      </c>
      <c r="H306" s="13">
        <v>-2</v>
      </c>
      <c r="I306" s="13">
        <v>-7</v>
      </c>
      <c r="J306" s="13">
        <v>1</v>
      </c>
      <c r="K306" s="13">
        <v>1</v>
      </c>
      <c r="L306" s="13">
        <v>0</v>
      </c>
      <c r="M306" s="13">
        <v>0</v>
      </c>
      <c r="N306" s="13">
        <v>-1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-2</v>
      </c>
    </row>
    <row r="307" spans="1:45" ht="23" customHeight="1">
      <c r="A307" s="13" t="s">
        <v>721</v>
      </c>
      <c r="B307" s="13" t="s">
        <v>722</v>
      </c>
      <c r="C307" s="13" t="s">
        <v>2086</v>
      </c>
      <c r="D307" s="13">
        <v>0</v>
      </c>
      <c r="E307" s="13">
        <v>2</v>
      </c>
      <c r="F307" s="13">
        <v>2</v>
      </c>
      <c r="G307" s="13">
        <v>0</v>
      </c>
      <c r="H307" s="13">
        <v>0</v>
      </c>
      <c r="I307" s="13">
        <v>-9</v>
      </c>
      <c r="J307" s="13">
        <v>3</v>
      </c>
      <c r="K307" s="13">
        <v>2</v>
      </c>
      <c r="L307" s="13">
        <v>0</v>
      </c>
      <c r="M307" s="14">
        <v>1</v>
      </c>
      <c r="N307" s="13">
        <v>-5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4">
        <v>2</v>
      </c>
    </row>
    <row r="308" spans="1:45" ht="34" customHeight="1">
      <c r="A308" s="13" t="s">
        <v>724</v>
      </c>
      <c r="B308" s="13" t="s">
        <v>725</v>
      </c>
      <c r="C308" s="13" t="s">
        <v>726</v>
      </c>
      <c r="D308" s="13">
        <v>0</v>
      </c>
      <c r="E308" s="13">
        <v>1</v>
      </c>
      <c r="F308" s="13">
        <v>5</v>
      </c>
      <c r="G308" s="13">
        <v>0</v>
      </c>
      <c r="H308" s="13">
        <v>-4</v>
      </c>
      <c r="I308" s="13">
        <v>-3</v>
      </c>
      <c r="J308" s="13">
        <v>1</v>
      </c>
      <c r="K308" s="13">
        <v>3</v>
      </c>
      <c r="L308" s="13">
        <v>0</v>
      </c>
      <c r="M308" s="13">
        <v>-2</v>
      </c>
      <c r="N308" s="13">
        <v>-4</v>
      </c>
      <c r="O308" s="13">
        <v>0</v>
      </c>
      <c r="P308" s="13">
        <v>1</v>
      </c>
      <c r="Q308" s="13">
        <v>0</v>
      </c>
      <c r="R308" s="13">
        <v>-1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-5</v>
      </c>
    </row>
    <row r="309" spans="1:45" ht="34" customHeight="1">
      <c r="A309" s="13" t="s">
        <v>726</v>
      </c>
      <c r="B309" s="13" t="s">
        <v>725</v>
      </c>
      <c r="C309" s="13"/>
      <c r="D309" s="13">
        <v>0</v>
      </c>
      <c r="E309" s="13">
        <v>2</v>
      </c>
      <c r="F309" s="13">
        <v>2</v>
      </c>
      <c r="G309" s="13">
        <v>0</v>
      </c>
      <c r="H309" s="13">
        <v>0</v>
      </c>
      <c r="I309" s="13">
        <v>-1</v>
      </c>
      <c r="J309" s="13">
        <v>2</v>
      </c>
      <c r="K309" s="13">
        <v>2</v>
      </c>
      <c r="L309" s="13">
        <v>0</v>
      </c>
      <c r="M309" s="13">
        <v>0</v>
      </c>
      <c r="N309" s="13">
        <v>-2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</row>
    <row r="310" spans="1:45" ht="23" customHeight="1">
      <c r="A310" s="13" t="s">
        <v>728</v>
      </c>
      <c r="B310" s="13" t="s">
        <v>729</v>
      </c>
      <c r="C310" s="13"/>
      <c r="D310" s="13">
        <v>0</v>
      </c>
      <c r="E310" s="13">
        <v>1</v>
      </c>
      <c r="F310" s="13">
        <v>2</v>
      </c>
      <c r="G310" s="13">
        <v>0</v>
      </c>
      <c r="H310" s="13">
        <v>-1</v>
      </c>
      <c r="I310" s="13">
        <v>-1</v>
      </c>
      <c r="J310" s="13">
        <v>0</v>
      </c>
      <c r="K310" s="13">
        <v>1</v>
      </c>
      <c r="L310" s="13">
        <v>0</v>
      </c>
      <c r="M310" s="13">
        <v>-1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1</v>
      </c>
      <c r="AP310" s="13">
        <v>0</v>
      </c>
      <c r="AQ310" s="13">
        <v>-1</v>
      </c>
      <c r="AR310" s="13">
        <v>0</v>
      </c>
      <c r="AS310" s="13">
        <v>-3</v>
      </c>
    </row>
    <row r="311" spans="1:45" ht="23" customHeight="1">
      <c r="A311" s="13" t="s">
        <v>730</v>
      </c>
      <c r="B311" s="13" t="s">
        <v>731</v>
      </c>
      <c r="C311" s="13"/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1</v>
      </c>
      <c r="K311" s="13">
        <v>1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</row>
    <row r="312" spans="1:45" ht="23" customHeight="1">
      <c r="A312" s="13" t="s">
        <v>733</v>
      </c>
      <c r="B312" s="13" t="s">
        <v>734</v>
      </c>
      <c r="C312" s="13"/>
      <c r="D312" s="13">
        <v>0</v>
      </c>
      <c r="E312" s="13">
        <v>1</v>
      </c>
      <c r="F312" s="13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</row>
    <row r="313" spans="1:45" ht="23" customHeight="1">
      <c r="A313" s="13" t="s">
        <v>735</v>
      </c>
      <c r="B313" s="13" t="s">
        <v>227</v>
      </c>
      <c r="C313" s="13"/>
      <c r="D313" s="13">
        <v>0</v>
      </c>
      <c r="E313" s="13">
        <v>0</v>
      </c>
      <c r="F313" s="13">
        <v>1</v>
      </c>
      <c r="G313" s="13">
        <v>0</v>
      </c>
      <c r="H313" s="13">
        <v>-1</v>
      </c>
      <c r="I313" s="13">
        <v>-3</v>
      </c>
      <c r="J313" s="13">
        <v>1</v>
      </c>
      <c r="K313" s="13">
        <v>1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-1</v>
      </c>
    </row>
    <row r="314" spans="1:45" ht="23" customHeight="1">
      <c r="A314" s="13" t="s">
        <v>736</v>
      </c>
      <c r="B314" s="13" t="s">
        <v>737</v>
      </c>
      <c r="C314" s="13"/>
      <c r="D314" s="13">
        <v>2</v>
      </c>
      <c r="E314" s="13">
        <v>0</v>
      </c>
      <c r="F314" s="13">
        <v>1</v>
      </c>
      <c r="G314" s="13">
        <v>0</v>
      </c>
      <c r="H314" s="13">
        <v>-1</v>
      </c>
      <c r="I314" s="13">
        <v>-4</v>
      </c>
      <c r="J314" s="13">
        <v>1</v>
      </c>
      <c r="K314" s="13">
        <v>4</v>
      </c>
      <c r="L314" s="13">
        <v>0</v>
      </c>
      <c r="M314" s="13">
        <v>-3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-4</v>
      </c>
    </row>
    <row r="315" spans="1:45" ht="23" customHeight="1">
      <c r="A315" s="13" t="s">
        <v>738</v>
      </c>
      <c r="B315" s="13" t="s">
        <v>739</v>
      </c>
      <c r="C315" s="13" t="s">
        <v>2087</v>
      </c>
      <c r="D315" s="13">
        <v>0</v>
      </c>
      <c r="E315" s="13">
        <v>1</v>
      </c>
      <c r="F315" s="13">
        <v>1</v>
      </c>
      <c r="G315" s="13">
        <v>0</v>
      </c>
      <c r="H315" s="13">
        <v>0</v>
      </c>
      <c r="I315" s="13">
        <v>-2</v>
      </c>
      <c r="J315" s="13">
        <v>1</v>
      </c>
      <c r="K315" s="13">
        <v>1</v>
      </c>
      <c r="L315" s="13">
        <v>0</v>
      </c>
      <c r="M315" s="13">
        <v>0</v>
      </c>
      <c r="N315" s="13">
        <v>-3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</row>
    <row r="316" spans="1:45" ht="23" customHeight="1">
      <c r="A316" s="13" t="s">
        <v>740</v>
      </c>
      <c r="B316" s="13" t="s">
        <v>741</v>
      </c>
      <c r="C316" s="13"/>
      <c r="D316" s="13">
        <v>0</v>
      </c>
      <c r="E316" s="13">
        <v>1</v>
      </c>
      <c r="F316" s="13">
        <v>2</v>
      </c>
      <c r="G316" s="13">
        <v>0</v>
      </c>
      <c r="H316" s="13">
        <v>-1</v>
      </c>
      <c r="I316" s="13">
        <v>-1</v>
      </c>
      <c r="J316" s="13">
        <v>0</v>
      </c>
      <c r="K316" s="13">
        <v>0</v>
      </c>
      <c r="L316" s="13">
        <v>0</v>
      </c>
      <c r="M316" s="13">
        <v>0</v>
      </c>
      <c r="N316" s="13">
        <v>-1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-1</v>
      </c>
    </row>
    <row r="317" spans="1:45" ht="23" customHeight="1">
      <c r="A317" s="13" t="s">
        <v>743</v>
      </c>
      <c r="B317" s="13" t="s">
        <v>744</v>
      </c>
      <c r="C317" s="13" t="s">
        <v>2088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1</v>
      </c>
      <c r="K317" s="13">
        <v>1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</row>
    <row r="318" spans="1:45" ht="23" customHeight="1">
      <c r="A318" s="13" t="s">
        <v>745</v>
      </c>
      <c r="B318" s="13" t="s">
        <v>746</v>
      </c>
      <c r="C318" s="13" t="s">
        <v>2089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-4</v>
      </c>
      <c r="J318" s="13">
        <v>1</v>
      </c>
      <c r="K318" s="13">
        <v>1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</row>
    <row r="319" spans="1:45" ht="23" customHeight="1">
      <c r="A319" s="13" t="s">
        <v>748</v>
      </c>
      <c r="B319" s="13" t="s">
        <v>749</v>
      </c>
      <c r="C319" s="13" t="s">
        <v>2090</v>
      </c>
      <c r="D319" s="13">
        <v>1</v>
      </c>
      <c r="E319" s="13">
        <v>1</v>
      </c>
      <c r="F319" s="13">
        <v>5</v>
      </c>
      <c r="G319" s="13">
        <v>0</v>
      </c>
      <c r="H319" s="13">
        <v>-4</v>
      </c>
      <c r="I319" s="13">
        <v>-1</v>
      </c>
      <c r="J319" s="13">
        <v>1</v>
      </c>
      <c r="K319" s="13">
        <v>1</v>
      </c>
      <c r="L319" s="13">
        <v>0</v>
      </c>
      <c r="M319" s="13">
        <v>0</v>
      </c>
      <c r="N319" s="13">
        <v>-2</v>
      </c>
      <c r="O319" s="13">
        <v>0</v>
      </c>
      <c r="P319" s="13">
        <v>1</v>
      </c>
      <c r="Q319" s="13">
        <v>0</v>
      </c>
      <c r="R319" s="13">
        <v>-1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1</v>
      </c>
      <c r="AP319" s="13">
        <v>0</v>
      </c>
      <c r="AQ319" s="13">
        <v>-1</v>
      </c>
      <c r="AR319" s="13">
        <v>0</v>
      </c>
      <c r="AS319" s="13">
        <v>-3</v>
      </c>
    </row>
    <row r="320" spans="1:45" ht="20" customHeight="1">
      <c r="A320" s="13" t="s">
        <v>750</v>
      </c>
      <c r="B320" s="13" t="s">
        <v>751</v>
      </c>
      <c r="C320" s="13" t="s">
        <v>2091</v>
      </c>
      <c r="D320" s="13">
        <v>0</v>
      </c>
      <c r="E320" s="13">
        <v>0</v>
      </c>
      <c r="F320" s="13">
        <v>3</v>
      </c>
      <c r="G320" s="13">
        <v>0</v>
      </c>
      <c r="H320" s="13">
        <v>-3</v>
      </c>
      <c r="I320" s="13">
        <v>-2</v>
      </c>
      <c r="J320" s="13">
        <v>1</v>
      </c>
      <c r="K320" s="13">
        <v>1</v>
      </c>
      <c r="L320" s="13">
        <v>0</v>
      </c>
      <c r="M320" s="13">
        <v>0</v>
      </c>
      <c r="N320" s="13">
        <v>-1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-3</v>
      </c>
    </row>
    <row r="321" spans="1:45" ht="20" customHeight="1">
      <c r="A321" s="13" t="s">
        <v>752</v>
      </c>
      <c r="B321" s="13" t="s">
        <v>753</v>
      </c>
      <c r="C321" s="13"/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-1</v>
      </c>
      <c r="J321" s="13">
        <v>1</v>
      </c>
      <c r="K321" s="13">
        <v>1</v>
      </c>
      <c r="L321" s="13">
        <v>0</v>
      </c>
      <c r="M321" s="13">
        <v>0</v>
      </c>
      <c r="N321" s="13">
        <v>-1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</row>
    <row r="322" spans="1:45" ht="23" customHeight="1">
      <c r="A322" s="13" t="s">
        <v>754</v>
      </c>
      <c r="B322" s="13" t="s">
        <v>755</v>
      </c>
      <c r="C322" s="13"/>
      <c r="D322" s="13">
        <v>0</v>
      </c>
      <c r="E322" s="13">
        <v>0</v>
      </c>
      <c r="F322" s="13">
        <v>1</v>
      </c>
      <c r="G322" s="13">
        <v>0</v>
      </c>
      <c r="H322" s="13">
        <v>-1</v>
      </c>
      <c r="I322" s="13">
        <v>0</v>
      </c>
      <c r="J322" s="13">
        <v>1</v>
      </c>
      <c r="K322" s="13">
        <v>2</v>
      </c>
      <c r="L322" s="13">
        <v>0</v>
      </c>
      <c r="M322" s="13">
        <v>-1</v>
      </c>
      <c r="N322" s="13">
        <v>-4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-2</v>
      </c>
    </row>
    <row r="323" spans="1:45" ht="20" customHeight="1">
      <c r="A323" s="13" t="s">
        <v>757</v>
      </c>
      <c r="B323" s="13" t="s">
        <v>80</v>
      </c>
      <c r="C323" s="13" t="s">
        <v>2092</v>
      </c>
      <c r="D323" s="13">
        <v>0</v>
      </c>
      <c r="E323" s="13">
        <v>1</v>
      </c>
      <c r="F323" s="13">
        <v>1</v>
      </c>
      <c r="G323" s="13">
        <v>0</v>
      </c>
      <c r="H323" s="13">
        <v>0</v>
      </c>
      <c r="I323" s="13">
        <v>0</v>
      </c>
      <c r="J323" s="13">
        <v>1</v>
      </c>
      <c r="K323" s="13">
        <v>1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</row>
    <row r="324" spans="1:45" ht="23" customHeight="1">
      <c r="A324" s="13" t="s">
        <v>758</v>
      </c>
      <c r="B324" s="13" t="s">
        <v>585</v>
      </c>
      <c r="C324" s="13" t="s">
        <v>2093</v>
      </c>
      <c r="D324" s="13">
        <v>1</v>
      </c>
      <c r="E324" s="13">
        <v>1</v>
      </c>
      <c r="F324" s="13">
        <v>1</v>
      </c>
      <c r="G324" s="13">
        <v>0</v>
      </c>
      <c r="H324" s="13">
        <v>0</v>
      </c>
      <c r="I324" s="13">
        <v>-4</v>
      </c>
      <c r="J324" s="13">
        <v>4</v>
      </c>
      <c r="K324" s="13">
        <v>4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</row>
    <row r="325" spans="1:45" ht="23" customHeight="1">
      <c r="A325" s="13" t="s">
        <v>759</v>
      </c>
      <c r="B325" s="13" t="s">
        <v>585</v>
      </c>
      <c r="C325" s="13" t="s">
        <v>2094</v>
      </c>
      <c r="D325" s="13">
        <v>0</v>
      </c>
      <c r="E325" s="13">
        <v>2</v>
      </c>
      <c r="F325" s="13">
        <v>0</v>
      </c>
      <c r="G325" s="13">
        <v>0</v>
      </c>
      <c r="H325" s="14">
        <v>2</v>
      </c>
      <c r="I325" s="13">
        <v>-14</v>
      </c>
      <c r="J325" s="13">
        <v>4</v>
      </c>
      <c r="K325" s="13">
        <v>2</v>
      </c>
      <c r="L325" s="13">
        <v>0</v>
      </c>
      <c r="M325" s="14">
        <v>2</v>
      </c>
      <c r="N325" s="13">
        <v>-26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4">
        <v>4</v>
      </c>
    </row>
    <row r="326" spans="1:45" ht="23" customHeight="1">
      <c r="A326" s="13" t="s">
        <v>760</v>
      </c>
      <c r="B326" s="13" t="s">
        <v>761</v>
      </c>
      <c r="C326" s="13" t="s">
        <v>2095</v>
      </c>
      <c r="D326" s="13">
        <v>0</v>
      </c>
      <c r="E326" s="13">
        <v>1</v>
      </c>
      <c r="F326" s="13">
        <v>5</v>
      </c>
      <c r="G326" s="13">
        <v>0</v>
      </c>
      <c r="H326" s="13">
        <v>-4</v>
      </c>
      <c r="I326" s="13">
        <v>-1</v>
      </c>
      <c r="J326" s="13">
        <v>1</v>
      </c>
      <c r="K326" s="13">
        <v>1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-4</v>
      </c>
    </row>
    <row r="327" spans="1:45" ht="46" customHeight="1">
      <c r="A327" s="13" t="s">
        <v>762</v>
      </c>
      <c r="B327" s="13" t="s">
        <v>515</v>
      </c>
      <c r="C327" s="13" t="s">
        <v>2096</v>
      </c>
      <c r="D327" s="13">
        <v>0</v>
      </c>
      <c r="E327" s="13">
        <v>1</v>
      </c>
      <c r="F327" s="13">
        <v>5</v>
      </c>
      <c r="G327" s="13">
        <v>0</v>
      </c>
      <c r="H327" s="13">
        <v>-4</v>
      </c>
      <c r="I327" s="13">
        <v>-11</v>
      </c>
      <c r="J327" s="13">
        <v>1</v>
      </c>
      <c r="K327" s="13">
        <v>2</v>
      </c>
      <c r="L327" s="13">
        <v>0</v>
      </c>
      <c r="M327" s="13">
        <v>-1</v>
      </c>
      <c r="N327" s="13">
        <v>-3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-4</v>
      </c>
    </row>
    <row r="328" spans="1:45" ht="34" customHeight="1">
      <c r="A328" s="13" t="s">
        <v>764</v>
      </c>
      <c r="B328" s="13" t="s">
        <v>765</v>
      </c>
      <c r="C328" s="13" t="s">
        <v>2097</v>
      </c>
      <c r="D328" s="13">
        <v>0</v>
      </c>
      <c r="E328" s="13">
        <v>2</v>
      </c>
      <c r="F328" s="13">
        <v>11</v>
      </c>
      <c r="G328" s="13">
        <v>0</v>
      </c>
      <c r="H328" s="13">
        <v>-9</v>
      </c>
      <c r="I328" s="13">
        <v>-4</v>
      </c>
      <c r="J328" s="13">
        <v>1</v>
      </c>
      <c r="K328" s="13">
        <v>3</v>
      </c>
      <c r="L328" s="13">
        <v>0</v>
      </c>
      <c r="M328" s="13">
        <v>-2</v>
      </c>
      <c r="N328" s="13">
        <v>-4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-1</v>
      </c>
      <c r="AS328" s="13">
        <v>-11</v>
      </c>
    </row>
    <row r="329" spans="1:45" ht="23" customHeight="1">
      <c r="A329" s="13" t="s">
        <v>766</v>
      </c>
      <c r="B329" s="13" t="s">
        <v>767</v>
      </c>
      <c r="C329" s="13" t="s">
        <v>2098</v>
      </c>
      <c r="D329" s="13">
        <v>0</v>
      </c>
      <c r="E329" s="13">
        <v>2</v>
      </c>
      <c r="F329" s="13">
        <v>4</v>
      </c>
      <c r="G329" s="13">
        <v>0</v>
      </c>
      <c r="H329" s="13">
        <v>-2</v>
      </c>
      <c r="I329" s="13">
        <v>0</v>
      </c>
      <c r="J329" s="13">
        <v>2</v>
      </c>
      <c r="K329" s="13">
        <v>6</v>
      </c>
      <c r="L329" s="13">
        <v>0</v>
      </c>
      <c r="M329" s="13">
        <v>-4</v>
      </c>
      <c r="N329" s="13">
        <v>-5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-6</v>
      </c>
    </row>
    <row r="330" spans="1:45" ht="23" customHeight="1">
      <c r="A330" s="13" t="s">
        <v>769</v>
      </c>
      <c r="B330" s="13" t="s">
        <v>770</v>
      </c>
      <c r="C330" s="13"/>
      <c r="D330" s="13">
        <v>0</v>
      </c>
      <c r="E330" s="13">
        <v>1</v>
      </c>
      <c r="F330" s="13">
        <v>3</v>
      </c>
      <c r="G330" s="13">
        <v>0</v>
      </c>
      <c r="H330" s="13">
        <v>-2</v>
      </c>
      <c r="I330" s="13">
        <v>0</v>
      </c>
      <c r="J330" s="13">
        <v>1</v>
      </c>
      <c r="K330" s="13">
        <v>1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</row>
    <row r="331" spans="1:45" ht="23" customHeight="1">
      <c r="A331" s="13" t="s">
        <v>771</v>
      </c>
      <c r="B331" s="13" t="s">
        <v>772</v>
      </c>
      <c r="C331" s="13"/>
      <c r="D331" s="13">
        <v>0</v>
      </c>
      <c r="E331" s="13">
        <v>1</v>
      </c>
      <c r="F331" s="13">
        <v>3</v>
      </c>
      <c r="G331" s="13">
        <v>0</v>
      </c>
      <c r="H331" s="13">
        <v>-2</v>
      </c>
      <c r="I331" s="13">
        <v>-1</v>
      </c>
      <c r="J331" s="13">
        <v>1</v>
      </c>
      <c r="K331" s="13">
        <v>2</v>
      </c>
      <c r="L331" s="13">
        <v>0</v>
      </c>
      <c r="M331" s="13">
        <v>-1</v>
      </c>
      <c r="N331" s="13">
        <v>-4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-3</v>
      </c>
    </row>
    <row r="332" spans="1:45" ht="23" customHeight="1">
      <c r="A332" s="13" t="s">
        <v>773</v>
      </c>
      <c r="B332" s="13" t="s">
        <v>774</v>
      </c>
      <c r="C332" s="13" t="s">
        <v>2099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1</v>
      </c>
      <c r="K332" s="13">
        <v>1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</row>
    <row r="333" spans="1:45" ht="34" customHeight="1">
      <c r="A333" s="13" t="s">
        <v>776</v>
      </c>
      <c r="B333" s="13" t="s">
        <v>777</v>
      </c>
      <c r="C333" s="13" t="s">
        <v>2100</v>
      </c>
      <c r="D333" s="13">
        <v>1</v>
      </c>
      <c r="E333" s="13">
        <v>1</v>
      </c>
      <c r="F333" s="13">
        <v>1</v>
      </c>
      <c r="G333" s="13">
        <v>0</v>
      </c>
      <c r="H333" s="13">
        <v>0</v>
      </c>
      <c r="I333" s="13">
        <v>0</v>
      </c>
      <c r="J333" s="13">
        <v>1</v>
      </c>
      <c r="K333" s="13">
        <v>0</v>
      </c>
      <c r="L333" s="13">
        <v>0</v>
      </c>
      <c r="M333" s="14">
        <v>1</v>
      </c>
      <c r="N333" s="13">
        <v>-3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4">
        <v>1</v>
      </c>
    </row>
    <row r="334" spans="1:45" ht="20" customHeight="1">
      <c r="A334" s="13" t="s">
        <v>779</v>
      </c>
      <c r="B334" s="13" t="s">
        <v>780</v>
      </c>
      <c r="C334" s="13"/>
      <c r="D334" s="13">
        <v>0</v>
      </c>
      <c r="E334" s="13">
        <v>1</v>
      </c>
      <c r="F334" s="13">
        <v>1</v>
      </c>
      <c r="G334" s="13">
        <v>0</v>
      </c>
      <c r="H334" s="13">
        <v>0</v>
      </c>
      <c r="I334" s="13">
        <v>0</v>
      </c>
      <c r="J334" s="13">
        <v>1</v>
      </c>
      <c r="K334" s="13">
        <v>1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</row>
    <row r="335" spans="1:45" ht="34" customHeight="1">
      <c r="A335" s="13" t="s">
        <v>781</v>
      </c>
      <c r="B335" s="13" t="s">
        <v>782</v>
      </c>
      <c r="C335" s="13" t="s">
        <v>2101</v>
      </c>
      <c r="D335" s="13">
        <v>0</v>
      </c>
      <c r="E335" s="13">
        <v>1</v>
      </c>
      <c r="F335" s="13">
        <v>4</v>
      </c>
      <c r="G335" s="13">
        <v>0</v>
      </c>
      <c r="H335" s="13">
        <v>-3</v>
      </c>
      <c r="I335" s="13">
        <v>0</v>
      </c>
      <c r="J335" s="13">
        <v>1</v>
      </c>
      <c r="K335" s="13">
        <v>2</v>
      </c>
      <c r="L335" s="13">
        <v>0</v>
      </c>
      <c r="M335" s="13">
        <v>-1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-2</v>
      </c>
    </row>
    <row r="336" spans="1:45" ht="23" customHeight="1">
      <c r="A336" s="13" t="s">
        <v>783</v>
      </c>
      <c r="B336" s="13" t="s">
        <v>784</v>
      </c>
      <c r="C336" s="13" t="s">
        <v>2102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-2</v>
      </c>
      <c r="J336" s="13">
        <v>0</v>
      </c>
      <c r="K336" s="13">
        <v>0</v>
      </c>
      <c r="L336" s="13">
        <v>0</v>
      </c>
      <c r="M336" s="13">
        <v>0</v>
      </c>
      <c r="N336" s="13">
        <v>-1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</row>
    <row r="337" spans="1:45" ht="34" customHeight="1">
      <c r="A337" s="13" t="s">
        <v>785</v>
      </c>
      <c r="B337" s="13" t="s">
        <v>786</v>
      </c>
      <c r="C337" s="13" t="s">
        <v>2103</v>
      </c>
      <c r="D337" s="13">
        <v>0</v>
      </c>
      <c r="E337" s="13">
        <v>0</v>
      </c>
      <c r="F337" s="13">
        <v>1</v>
      </c>
      <c r="G337" s="13">
        <v>0</v>
      </c>
      <c r="H337" s="13">
        <v>-1</v>
      </c>
      <c r="I337" s="13">
        <v>-1</v>
      </c>
      <c r="J337" s="13">
        <v>1</v>
      </c>
      <c r="K337" s="13">
        <v>1</v>
      </c>
      <c r="L337" s="13">
        <v>0</v>
      </c>
      <c r="M337" s="13">
        <v>0</v>
      </c>
      <c r="N337" s="13">
        <v>-1</v>
      </c>
      <c r="O337" s="13">
        <v>0</v>
      </c>
      <c r="P337" s="13">
        <v>1</v>
      </c>
      <c r="Q337" s="13">
        <v>0</v>
      </c>
      <c r="R337" s="13">
        <v>-1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-2</v>
      </c>
    </row>
    <row r="338" spans="1:45" ht="34" customHeight="1">
      <c r="A338" s="13" t="s">
        <v>787</v>
      </c>
      <c r="B338" s="13" t="s">
        <v>788</v>
      </c>
      <c r="C338" s="13"/>
      <c r="D338" s="13">
        <v>0</v>
      </c>
      <c r="E338" s="13">
        <v>1</v>
      </c>
      <c r="F338" s="13">
        <v>2</v>
      </c>
      <c r="G338" s="13">
        <v>0</v>
      </c>
      <c r="H338" s="13">
        <v>-1</v>
      </c>
      <c r="I338" s="13">
        <v>-4</v>
      </c>
      <c r="J338" s="13">
        <v>1</v>
      </c>
      <c r="K338" s="13">
        <v>1</v>
      </c>
      <c r="L338" s="13">
        <v>0</v>
      </c>
      <c r="M338" s="13">
        <v>0</v>
      </c>
      <c r="N338" s="13">
        <v>-2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-1</v>
      </c>
    </row>
    <row r="339" spans="1:45" ht="23" customHeight="1">
      <c r="A339" s="13" t="s">
        <v>789</v>
      </c>
      <c r="B339" s="13" t="s">
        <v>790</v>
      </c>
      <c r="C339" s="13" t="s">
        <v>2104</v>
      </c>
      <c r="D339" s="13">
        <v>1</v>
      </c>
      <c r="E339" s="13">
        <v>1</v>
      </c>
      <c r="F339" s="13">
        <v>2</v>
      </c>
      <c r="G339" s="13">
        <v>0</v>
      </c>
      <c r="H339" s="13">
        <v>-1</v>
      </c>
      <c r="I339" s="13">
        <v>-3</v>
      </c>
      <c r="J339" s="13">
        <v>0</v>
      </c>
      <c r="K339" s="13">
        <v>0</v>
      </c>
      <c r="L339" s="13">
        <v>0</v>
      </c>
      <c r="M339" s="13">
        <v>0</v>
      </c>
      <c r="N339" s="13">
        <v>-1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-1</v>
      </c>
    </row>
    <row r="340" spans="1:45" ht="23" customHeight="1">
      <c r="A340" s="13" t="s">
        <v>792</v>
      </c>
      <c r="B340" s="13" t="s">
        <v>196</v>
      </c>
      <c r="C340" s="13"/>
      <c r="D340" s="13">
        <v>0</v>
      </c>
      <c r="E340" s="13">
        <v>2</v>
      </c>
      <c r="F340" s="13">
        <v>3</v>
      </c>
      <c r="G340" s="13">
        <v>0</v>
      </c>
      <c r="H340" s="13">
        <v>-1</v>
      </c>
      <c r="I340" s="13">
        <v>-6</v>
      </c>
      <c r="J340" s="13">
        <v>2</v>
      </c>
      <c r="K340" s="13">
        <v>3</v>
      </c>
      <c r="L340" s="13">
        <v>0</v>
      </c>
      <c r="M340" s="13">
        <v>-1</v>
      </c>
      <c r="N340" s="13">
        <v>-1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1</v>
      </c>
      <c r="AP340" s="13">
        <v>0</v>
      </c>
      <c r="AQ340" s="13">
        <v>-1</v>
      </c>
      <c r="AR340" s="13">
        <v>0</v>
      </c>
      <c r="AS340" s="13">
        <v>-3</v>
      </c>
    </row>
    <row r="341" spans="1:45" ht="23" customHeight="1">
      <c r="A341" s="13" t="s">
        <v>794</v>
      </c>
      <c r="B341" s="13" t="s">
        <v>196</v>
      </c>
      <c r="C341" s="13"/>
      <c r="D341" s="13">
        <v>0</v>
      </c>
      <c r="E341" s="13">
        <v>1</v>
      </c>
      <c r="F341" s="13">
        <v>2</v>
      </c>
      <c r="G341" s="13">
        <v>0</v>
      </c>
      <c r="H341" s="13">
        <v>-1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1</v>
      </c>
      <c r="AP341" s="13">
        <v>0</v>
      </c>
      <c r="AQ341" s="13">
        <v>-1</v>
      </c>
      <c r="AR341" s="13">
        <v>0</v>
      </c>
      <c r="AS341" s="13">
        <v>-2</v>
      </c>
    </row>
    <row r="342" spans="1:45" ht="20" customHeight="1">
      <c r="A342" s="13" t="s">
        <v>795</v>
      </c>
      <c r="B342" s="13" t="s">
        <v>364</v>
      </c>
      <c r="C342" s="13"/>
      <c r="D342" s="13">
        <v>0</v>
      </c>
      <c r="E342" s="13">
        <v>1</v>
      </c>
      <c r="F342" s="13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</row>
    <row r="343" spans="1:45" ht="20" customHeight="1">
      <c r="A343" s="13" t="s">
        <v>796</v>
      </c>
      <c r="B343" s="13" t="s">
        <v>364</v>
      </c>
      <c r="C343" s="13"/>
      <c r="D343" s="13">
        <v>0</v>
      </c>
      <c r="E343" s="13">
        <v>1</v>
      </c>
      <c r="F343" s="13">
        <v>1</v>
      </c>
      <c r="G343" s="13">
        <v>0</v>
      </c>
      <c r="H343" s="13">
        <v>0</v>
      </c>
      <c r="I343" s="13">
        <v>0</v>
      </c>
      <c r="J343" s="13">
        <v>1</v>
      </c>
      <c r="K343" s="13">
        <v>1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</row>
    <row r="344" spans="1:45" ht="20" customHeight="1">
      <c r="A344" s="13" t="s">
        <v>797</v>
      </c>
      <c r="B344" s="13" t="s">
        <v>364</v>
      </c>
      <c r="C344" s="13"/>
      <c r="D344" s="13">
        <v>5</v>
      </c>
      <c r="E344" s="13">
        <v>1</v>
      </c>
      <c r="F344" s="13">
        <v>0</v>
      </c>
      <c r="G344" s="13">
        <v>0</v>
      </c>
      <c r="H344" s="14">
        <v>1</v>
      </c>
      <c r="I344" s="13">
        <v>-4</v>
      </c>
      <c r="J344" s="13">
        <v>1</v>
      </c>
      <c r="K344" s="13">
        <v>0</v>
      </c>
      <c r="L344" s="13">
        <v>0</v>
      </c>
      <c r="M344" s="14">
        <v>1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4">
        <v>2</v>
      </c>
    </row>
    <row r="345" spans="1:45" ht="20" customHeight="1">
      <c r="A345" s="13" t="s">
        <v>798</v>
      </c>
      <c r="B345" s="13" t="s">
        <v>364</v>
      </c>
      <c r="C345" s="13"/>
      <c r="D345" s="13">
        <v>1</v>
      </c>
      <c r="E345" s="13">
        <v>1</v>
      </c>
      <c r="F345" s="13">
        <v>1</v>
      </c>
      <c r="G345" s="13">
        <v>0</v>
      </c>
      <c r="H345" s="13">
        <v>0</v>
      </c>
      <c r="I345" s="13">
        <v>0</v>
      </c>
      <c r="J345" s="13">
        <v>1</v>
      </c>
      <c r="K345" s="13">
        <v>0</v>
      </c>
      <c r="L345" s="13">
        <v>0</v>
      </c>
      <c r="M345" s="14">
        <v>1</v>
      </c>
      <c r="N345" s="13">
        <v>-1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4">
        <v>1</v>
      </c>
    </row>
    <row r="346" spans="1:45" ht="20" customHeight="1">
      <c r="A346" s="13" t="s">
        <v>799</v>
      </c>
      <c r="B346" s="13" t="s">
        <v>364</v>
      </c>
      <c r="C346" s="13"/>
      <c r="D346" s="13">
        <v>0</v>
      </c>
      <c r="E346" s="13">
        <v>1</v>
      </c>
      <c r="F346" s="13">
        <v>1</v>
      </c>
      <c r="G346" s="13">
        <v>0</v>
      </c>
      <c r="H346" s="13">
        <v>0</v>
      </c>
      <c r="I346" s="13">
        <v>0</v>
      </c>
      <c r="J346" s="13">
        <v>1</v>
      </c>
      <c r="K346" s="13">
        <v>1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</row>
    <row r="347" spans="1:45" ht="23" customHeight="1">
      <c r="A347" s="13" t="s">
        <v>801</v>
      </c>
      <c r="B347" s="13" t="s">
        <v>802</v>
      </c>
      <c r="C347" s="13"/>
      <c r="D347" s="13">
        <v>0</v>
      </c>
      <c r="E347" s="13">
        <v>0</v>
      </c>
      <c r="F347" s="13">
        <v>1</v>
      </c>
      <c r="G347" s="13">
        <v>0</v>
      </c>
      <c r="H347" s="13">
        <v>-1</v>
      </c>
      <c r="I347" s="13">
        <v>0</v>
      </c>
      <c r="J347" s="13">
        <v>1</v>
      </c>
      <c r="K347" s="13">
        <v>2</v>
      </c>
      <c r="L347" s="13">
        <v>0</v>
      </c>
      <c r="M347" s="13">
        <v>-1</v>
      </c>
      <c r="N347" s="13">
        <v>-1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-2</v>
      </c>
    </row>
    <row r="348" spans="1:45" ht="23" customHeight="1">
      <c r="A348" s="13" t="s">
        <v>804</v>
      </c>
      <c r="B348" s="13" t="s">
        <v>805</v>
      </c>
      <c r="C348" s="13"/>
      <c r="D348" s="13">
        <v>0</v>
      </c>
      <c r="E348" s="13">
        <v>1</v>
      </c>
      <c r="F348" s="13">
        <v>3</v>
      </c>
      <c r="G348" s="13">
        <v>0</v>
      </c>
      <c r="H348" s="13">
        <v>-2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4">
        <v>1</v>
      </c>
    </row>
    <row r="349" spans="1:45" ht="20" customHeight="1">
      <c r="A349" s="13" t="s">
        <v>806</v>
      </c>
      <c r="B349" s="13" t="s">
        <v>807</v>
      </c>
      <c r="C349" s="13"/>
      <c r="D349" s="13">
        <v>0</v>
      </c>
      <c r="E349" s="13">
        <v>1</v>
      </c>
      <c r="F349" s="13">
        <v>2</v>
      </c>
      <c r="G349" s="13">
        <v>0</v>
      </c>
      <c r="H349" s="13">
        <v>-1</v>
      </c>
      <c r="I349" s="13">
        <v>-1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-1</v>
      </c>
    </row>
    <row r="350" spans="1:45" ht="23" customHeight="1">
      <c r="A350" s="13" t="s">
        <v>808</v>
      </c>
      <c r="B350" s="13" t="s">
        <v>809</v>
      </c>
      <c r="C350" s="13" t="s">
        <v>2105</v>
      </c>
      <c r="D350" s="13">
        <v>0</v>
      </c>
      <c r="E350" s="13">
        <v>0</v>
      </c>
      <c r="F350" s="13">
        <v>2</v>
      </c>
      <c r="G350" s="13">
        <v>0</v>
      </c>
      <c r="H350" s="13">
        <v>-2</v>
      </c>
      <c r="I350" s="13">
        <v>-1</v>
      </c>
      <c r="J350" s="13">
        <v>1</v>
      </c>
      <c r="K350" s="13">
        <v>1</v>
      </c>
      <c r="L350" s="13">
        <v>0</v>
      </c>
      <c r="M350" s="13">
        <v>0</v>
      </c>
      <c r="N350" s="13">
        <v>-1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-2</v>
      </c>
    </row>
    <row r="351" spans="1:45" ht="20" customHeight="1">
      <c r="A351" s="13" t="s">
        <v>810</v>
      </c>
      <c r="B351" s="13" t="s">
        <v>807</v>
      </c>
      <c r="C351" s="13" t="s">
        <v>2106</v>
      </c>
      <c r="D351" s="13">
        <v>0</v>
      </c>
      <c r="E351" s="13">
        <v>0</v>
      </c>
      <c r="F351" s="13">
        <v>9</v>
      </c>
      <c r="G351" s="13">
        <v>0</v>
      </c>
      <c r="H351" s="13">
        <v>-9</v>
      </c>
      <c r="I351" s="13">
        <v>-1</v>
      </c>
      <c r="J351" s="13">
        <v>1</v>
      </c>
      <c r="K351" s="13">
        <v>1</v>
      </c>
      <c r="L351" s="13">
        <v>0</v>
      </c>
      <c r="M351" s="13">
        <v>0</v>
      </c>
      <c r="N351" s="13">
        <v>-1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-7</v>
      </c>
    </row>
    <row r="352" spans="1:45" ht="23" customHeight="1">
      <c r="A352" s="13" t="s">
        <v>811</v>
      </c>
      <c r="B352" s="13" t="s">
        <v>812</v>
      </c>
      <c r="C352" s="13" t="s">
        <v>2107</v>
      </c>
      <c r="D352" s="13">
        <v>0</v>
      </c>
      <c r="E352" s="13">
        <v>1</v>
      </c>
      <c r="F352" s="13">
        <v>3</v>
      </c>
      <c r="G352" s="13">
        <v>0</v>
      </c>
      <c r="H352" s="13">
        <v>-2</v>
      </c>
      <c r="I352" s="13">
        <v>-1</v>
      </c>
      <c r="J352" s="13">
        <v>0</v>
      </c>
      <c r="K352" s="13">
        <v>1</v>
      </c>
      <c r="L352" s="13">
        <v>0</v>
      </c>
      <c r="M352" s="13">
        <v>-1</v>
      </c>
      <c r="N352" s="13">
        <v>-1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-3</v>
      </c>
    </row>
    <row r="353" spans="1:45" ht="34" customHeight="1">
      <c r="A353" s="13" t="s">
        <v>814</v>
      </c>
      <c r="B353" s="13" t="s">
        <v>815</v>
      </c>
      <c r="C353" s="13"/>
      <c r="D353" s="13">
        <v>0</v>
      </c>
      <c r="E353" s="13">
        <v>2</v>
      </c>
      <c r="F353" s="13">
        <v>8</v>
      </c>
      <c r="G353" s="13">
        <v>0</v>
      </c>
      <c r="H353" s="13">
        <v>-6</v>
      </c>
      <c r="I353" s="13">
        <v>-15</v>
      </c>
      <c r="J353" s="13">
        <v>2</v>
      </c>
      <c r="K353" s="13">
        <v>5</v>
      </c>
      <c r="L353" s="13">
        <v>0</v>
      </c>
      <c r="M353" s="13">
        <v>-3</v>
      </c>
      <c r="N353" s="13">
        <v>-8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-9</v>
      </c>
    </row>
    <row r="354" spans="1:45" ht="34" customHeight="1">
      <c r="A354" s="13" t="s">
        <v>816</v>
      </c>
      <c r="B354" s="13" t="s">
        <v>817</v>
      </c>
      <c r="C354" s="13" t="s">
        <v>2108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-10</v>
      </c>
      <c r="J354" s="13">
        <v>1</v>
      </c>
      <c r="K354" s="13">
        <v>0</v>
      </c>
      <c r="L354" s="13">
        <v>0</v>
      </c>
      <c r="M354" s="14">
        <v>1</v>
      </c>
      <c r="N354" s="13">
        <v>-1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4">
        <v>1</v>
      </c>
    </row>
    <row r="355" spans="1:45" ht="58" customHeight="1">
      <c r="A355" s="13" t="s">
        <v>819</v>
      </c>
      <c r="B355" s="13" t="s">
        <v>820</v>
      </c>
      <c r="C355" s="13" t="s">
        <v>2109</v>
      </c>
      <c r="D355" s="13">
        <v>3</v>
      </c>
      <c r="E355" s="13">
        <v>1</v>
      </c>
      <c r="F355" s="13">
        <v>1</v>
      </c>
      <c r="G355" s="13">
        <v>0</v>
      </c>
      <c r="H355" s="13">
        <v>0</v>
      </c>
      <c r="I355" s="13">
        <v>-7</v>
      </c>
      <c r="J355" s="13">
        <v>0</v>
      </c>
      <c r="K355" s="13">
        <v>0</v>
      </c>
      <c r="L355" s="13">
        <v>0</v>
      </c>
      <c r="M355" s="13">
        <v>0</v>
      </c>
      <c r="N355" s="13">
        <v>-1</v>
      </c>
      <c r="O355" s="13">
        <v>0</v>
      </c>
      <c r="P355" s="13">
        <v>0</v>
      </c>
      <c r="Q355" s="13">
        <v>0</v>
      </c>
      <c r="R355" s="13">
        <v>0</v>
      </c>
      <c r="S355" s="13">
        <v>-1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</row>
    <row r="356" spans="1:45" ht="23" customHeight="1">
      <c r="A356" s="13" t="s">
        <v>822</v>
      </c>
      <c r="B356" s="13" t="s">
        <v>823</v>
      </c>
      <c r="C356" s="13" t="s">
        <v>2110</v>
      </c>
      <c r="D356" s="13">
        <v>0</v>
      </c>
      <c r="E356" s="13">
        <v>1</v>
      </c>
      <c r="F356" s="13">
        <v>1</v>
      </c>
      <c r="G356" s="13">
        <v>0</v>
      </c>
      <c r="H356" s="13">
        <v>0</v>
      </c>
      <c r="I356" s="13">
        <v>0</v>
      </c>
      <c r="J356" s="13">
        <v>1</v>
      </c>
      <c r="K356" s="13">
        <v>2</v>
      </c>
      <c r="L356" s="13">
        <v>0</v>
      </c>
      <c r="M356" s="13">
        <v>-1</v>
      </c>
      <c r="N356" s="13">
        <v>-2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1</v>
      </c>
      <c r="AP356" s="13">
        <v>0</v>
      </c>
      <c r="AQ356" s="13">
        <v>-1</v>
      </c>
      <c r="AR356" s="13">
        <v>0</v>
      </c>
      <c r="AS356" s="13">
        <v>-2</v>
      </c>
    </row>
    <row r="357" spans="1:45" ht="23" customHeight="1">
      <c r="A357" s="13" t="s">
        <v>824</v>
      </c>
      <c r="B357" s="13" t="s">
        <v>825</v>
      </c>
      <c r="C357" s="13" t="s">
        <v>2111</v>
      </c>
      <c r="D357" s="13">
        <v>1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1</v>
      </c>
      <c r="K357" s="13">
        <v>0</v>
      </c>
      <c r="L357" s="13">
        <v>0</v>
      </c>
      <c r="M357" s="14">
        <v>1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4">
        <v>1</v>
      </c>
    </row>
    <row r="358" spans="1:45" ht="23" customHeight="1">
      <c r="A358" s="13" t="s">
        <v>826</v>
      </c>
      <c r="B358" s="13" t="s">
        <v>827</v>
      </c>
      <c r="C358" s="13" t="s">
        <v>2112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1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</row>
    <row r="359" spans="1:45" ht="34" customHeight="1">
      <c r="A359" s="13" t="s">
        <v>828</v>
      </c>
      <c r="B359" s="13" t="s">
        <v>829</v>
      </c>
      <c r="C359" s="13"/>
      <c r="D359" s="13">
        <v>0</v>
      </c>
      <c r="E359" s="13">
        <v>1</v>
      </c>
      <c r="F359" s="13">
        <v>2</v>
      </c>
      <c r="G359" s="13">
        <v>0</v>
      </c>
      <c r="H359" s="13">
        <v>-1</v>
      </c>
      <c r="I359" s="13">
        <v>-1</v>
      </c>
      <c r="J359" s="13">
        <v>1</v>
      </c>
      <c r="K359" s="13">
        <v>1</v>
      </c>
      <c r="L359" s="13">
        <v>0</v>
      </c>
      <c r="M359" s="13">
        <v>0</v>
      </c>
      <c r="N359" s="13">
        <v>-1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</row>
    <row r="360" spans="1:45" ht="23" customHeight="1">
      <c r="A360" s="13" t="s">
        <v>830</v>
      </c>
      <c r="B360" s="13" t="s">
        <v>831</v>
      </c>
      <c r="C360" s="13" t="s">
        <v>2113</v>
      </c>
      <c r="D360" s="13">
        <v>0</v>
      </c>
      <c r="E360" s="13">
        <v>0</v>
      </c>
      <c r="F360" s="13">
        <v>3</v>
      </c>
      <c r="G360" s="13">
        <v>0</v>
      </c>
      <c r="H360" s="13">
        <v>-3</v>
      </c>
      <c r="I360" s="13">
        <v>-4</v>
      </c>
      <c r="J360" s="13">
        <v>1</v>
      </c>
      <c r="K360" s="13">
        <v>1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-3</v>
      </c>
    </row>
    <row r="361" spans="1:45" ht="23" customHeight="1">
      <c r="A361" s="13" t="s">
        <v>832</v>
      </c>
      <c r="B361" s="13" t="s">
        <v>833</v>
      </c>
      <c r="C361" s="13"/>
      <c r="D361" s="13">
        <v>1</v>
      </c>
      <c r="E361" s="13">
        <v>0</v>
      </c>
      <c r="F361" s="13">
        <v>1</v>
      </c>
      <c r="G361" s="13">
        <v>0</v>
      </c>
      <c r="H361" s="13">
        <v>-1</v>
      </c>
      <c r="I361" s="13">
        <v>-2</v>
      </c>
      <c r="J361" s="13">
        <v>1</v>
      </c>
      <c r="K361" s="13">
        <v>1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</row>
    <row r="362" spans="1:45" ht="20" customHeight="1">
      <c r="A362" s="13" t="s">
        <v>834</v>
      </c>
      <c r="B362" s="13" t="s">
        <v>835</v>
      </c>
      <c r="C362" s="13"/>
      <c r="D362" s="13">
        <v>0</v>
      </c>
      <c r="E362" s="13">
        <v>1</v>
      </c>
      <c r="F362" s="13">
        <v>3</v>
      </c>
      <c r="G362" s="13">
        <v>0</v>
      </c>
      <c r="H362" s="13">
        <v>-2</v>
      </c>
      <c r="I362" s="13">
        <v>-2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-2</v>
      </c>
    </row>
    <row r="363" spans="1:45" ht="20" customHeight="1">
      <c r="A363" s="13" t="s">
        <v>836</v>
      </c>
      <c r="B363" s="13" t="s">
        <v>837</v>
      </c>
      <c r="C363" s="13" t="s">
        <v>2114</v>
      </c>
      <c r="D363" s="13">
        <v>0</v>
      </c>
      <c r="E363" s="13">
        <v>1</v>
      </c>
      <c r="F363" s="13">
        <v>2</v>
      </c>
      <c r="G363" s="13">
        <v>0</v>
      </c>
      <c r="H363" s="13">
        <v>-1</v>
      </c>
      <c r="I363" s="13">
        <v>-3</v>
      </c>
      <c r="J363" s="13">
        <v>2</v>
      </c>
      <c r="K363" s="13">
        <v>2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-1</v>
      </c>
    </row>
    <row r="364" spans="1:45" ht="20" customHeight="1">
      <c r="A364" s="13" t="s">
        <v>838</v>
      </c>
      <c r="B364" s="13" t="s">
        <v>837</v>
      </c>
      <c r="C364" s="13" t="s">
        <v>2115</v>
      </c>
      <c r="D364" s="13">
        <v>2</v>
      </c>
      <c r="E364" s="13">
        <v>1</v>
      </c>
      <c r="F364" s="13">
        <v>5</v>
      </c>
      <c r="G364" s="13">
        <v>0</v>
      </c>
      <c r="H364" s="13">
        <v>-4</v>
      </c>
      <c r="I364" s="13">
        <v>-5</v>
      </c>
      <c r="J364" s="13">
        <v>1</v>
      </c>
      <c r="K364" s="13">
        <v>1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-4</v>
      </c>
    </row>
    <row r="365" spans="1:45" ht="23" customHeight="1">
      <c r="A365" s="13" t="s">
        <v>839</v>
      </c>
      <c r="B365" s="13" t="s">
        <v>840</v>
      </c>
      <c r="C365" s="13" t="s">
        <v>2116</v>
      </c>
      <c r="D365" s="13">
        <v>4</v>
      </c>
      <c r="E365" s="13">
        <v>1</v>
      </c>
      <c r="F365" s="13">
        <v>1</v>
      </c>
      <c r="G365" s="13">
        <v>0</v>
      </c>
      <c r="H365" s="13">
        <v>0</v>
      </c>
      <c r="I365" s="13">
        <v>-10</v>
      </c>
      <c r="J365" s="13">
        <v>1</v>
      </c>
      <c r="K365" s="13">
        <v>1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</row>
    <row r="366" spans="1:45" ht="20" customHeight="1">
      <c r="A366" s="13" t="s">
        <v>841</v>
      </c>
      <c r="B366" s="13" t="s">
        <v>273</v>
      </c>
      <c r="C366" s="13"/>
      <c r="D366" s="13">
        <v>0</v>
      </c>
      <c r="E366" s="13">
        <v>0</v>
      </c>
      <c r="F366" s="13">
        <v>1</v>
      </c>
      <c r="G366" s="13">
        <v>0</v>
      </c>
      <c r="H366" s="13">
        <v>-1</v>
      </c>
      <c r="I366" s="13">
        <v>-2</v>
      </c>
      <c r="J366" s="13">
        <v>1</v>
      </c>
      <c r="K366" s="13">
        <v>1</v>
      </c>
      <c r="L366" s="13">
        <v>0</v>
      </c>
      <c r="M366" s="13">
        <v>0</v>
      </c>
      <c r="N366" s="13">
        <v>-2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-1</v>
      </c>
    </row>
    <row r="367" spans="1:45" ht="20" customHeight="1">
      <c r="A367" s="13" t="s">
        <v>843</v>
      </c>
      <c r="B367" s="13" t="s">
        <v>844</v>
      </c>
      <c r="C367" s="13" t="s">
        <v>2117</v>
      </c>
      <c r="D367" s="13">
        <v>0</v>
      </c>
      <c r="E367" s="13">
        <v>0</v>
      </c>
      <c r="F367" s="13">
        <v>2</v>
      </c>
      <c r="G367" s="13">
        <v>0</v>
      </c>
      <c r="H367" s="13">
        <v>-2</v>
      </c>
      <c r="I367" s="13">
        <v>-2</v>
      </c>
      <c r="J367" s="13">
        <v>1</v>
      </c>
      <c r="K367" s="13">
        <v>1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-2</v>
      </c>
    </row>
    <row r="368" spans="1:45" ht="20" customHeight="1">
      <c r="A368" s="13" t="s">
        <v>845</v>
      </c>
      <c r="B368" s="13" t="s">
        <v>454</v>
      </c>
      <c r="C368" s="13" t="s">
        <v>2118</v>
      </c>
      <c r="D368" s="13">
        <v>0</v>
      </c>
      <c r="E368" s="13">
        <v>2</v>
      </c>
      <c r="F368" s="13">
        <v>1</v>
      </c>
      <c r="G368" s="13">
        <v>0</v>
      </c>
      <c r="H368" s="14">
        <v>1</v>
      </c>
      <c r="I368" s="13">
        <v>-15</v>
      </c>
      <c r="J368" s="13">
        <v>2</v>
      </c>
      <c r="K368" s="13">
        <v>1</v>
      </c>
      <c r="L368" s="13">
        <v>0</v>
      </c>
      <c r="M368" s="14">
        <v>1</v>
      </c>
      <c r="N368" s="13">
        <v>-2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4">
        <v>3</v>
      </c>
    </row>
    <row r="369" spans="1:45" ht="34" customHeight="1">
      <c r="A369" s="13" t="s">
        <v>846</v>
      </c>
      <c r="B369" s="13" t="s">
        <v>847</v>
      </c>
      <c r="C369" s="13" t="s">
        <v>2119</v>
      </c>
      <c r="D369" s="13">
        <v>0</v>
      </c>
      <c r="E369" s="13">
        <v>1</v>
      </c>
      <c r="F369" s="13">
        <v>2</v>
      </c>
      <c r="G369" s="13">
        <v>0</v>
      </c>
      <c r="H369" s="13">
        <v>-1</v>
      </c>
      <c r="I369" s="13">
        <v>-1</v>
      </c>
      <c r="J369" s="13">
        <v>1</v>
      </c>
      <c r="K369" s="13">
        <v>1</v>
      </c>
      <c r="L369" s="13">
        <v>0</v>
      </c>
      <c r="M369" s="13">
        <v>0</v>
      </c>
      <c r="N369" s="13">
        <v>-1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-1</v>
      </c>
    </row>
    <row r="370" spans="1:45" ht="23" customHeight="1">
      <c r="A370" s="13" t="s">
        <v>848</v>
      </c>
      <c r="B370" s="13" t="s">
        <v>849</v>
      </c>
      <c r="C370" s="13" t="s">
        <v>2120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1</v>
      </c>
      <c r="K370" s="13">
        <v>1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</row>
    <row r="371" spans="1:45" ht="34" customHeight="1">
      <c r="A371" s="13" t="s">
        <v>851</v>
      </c>
      <c r="B371" s="13" t="s">
        <v>852</v>
      </c>
      <c r="C371" s="13" t="s">
        <v>2121</v>
      </c>
      <c r="D371" s="13">
        <v>0</v>
      </c>
      <c r="E371" s="13">
        <v>1</v>
      </c>
      <c r="F371" s="13">
        <v>2</v>
      </c>
      <c r="G371" s="13">
        <v>0</v>
      </c>
      <c r="H371" s="13">
        <v>-1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</row>
    <row r="372" spans="1:45" ht="23" customHeight="1">
      <c r="A372" s="13" t="s">
        <v>854</v>
      </c>
      <c r="B372" s="13" t="s">
        <v>855</v>
      </c>
      <c r="C372" s="13" t="s">
        <v>2122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1</v>
      </c>
      <c r="K372" s="13">
        <v>1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</row>
    <row r="373" spans="1:45" ht="34" customHeight="1">
      <c r="A373" s="13" t="s">
        <v>856</v>
      </c>
      <c r="B373" s="13" t="s">
        <v>857</v>
      </c>
      <c r="C373" s="13" t="s">
        <v>2123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-1</v>
      </c>
      <c r="J373" s="13">
        <v>1</v>
      </c>
      <c r="K373" s="13">
        <v>1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</row>
    <row r="374" spans="1:45" ht="34" customHeight="1">
      <c r="A374" s="13" t="s">
        <v>858</v>
      </c>
      <c r="B374" s="13" t="s">
        <v>859</v>
      </c>
      <c r="C374" s="13" t="s">
        <v>2124</v>
      </c>
      <c r="D374" s="13">
        <v>0</v>
      </c>
      <c r="E374" s="13">
        <v>1</v>
      </c>
      <c r="F374" s="13">
        <v>7</v>
      </c>
      <c r="G374" s="13">
        <v>0</v>
      </c>
      <c r="H374" s="13">
        <v>-6</v>
      </c>
      <c r="I374" s="13">
        <v>-6</v>
      </c>
      <c r="J374" s="13">
        <v>1</v>
      </c>
      <c r="K374" s="13">
        <v>3</v>
      </c>
      <c r="L374" s="13">
        <v>0</v>
      </c>
      <c r="M374" s="13">
        <v>-2</v>
      </c>
      <c r="N374" s="13">
        <v>-1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-5</v>
      </c>
    </row>
    <row r="375" spans="1:45" ht="34" customHeight="1">
      <c r="A375" s="13" t="s">
        <v>861</v>
      </c>
      <c r="B375" s="13" t="s">
        <v>862</v>
      </c>
      <c r="C375" s="13"/>
      <c r="D375" s="13">
        <v>0</v>
      </c>
      <c r="E375" s="13">
        <v>1</v>
      </c>
      <c r="F375" s="13">
        <v>1</v>
      </c>
      <c r="G375" s="13">
        <v>0</v>
      </c>
      <c r="H375" s="13">
        <v>0</v>
      </c>
      <c r="I375" s="13">
        <v>0</v>
      </c>
      <c r="J375" s="13">
        <v>0</v>
      </c>
      <c r="K375" s="13">
        <v>1</v>
      </c>
      <c r="L375" s="13">
        <v>0</v>
      </c>
      <c r="M375" s="13">
        <v>-1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-1</v>
      </c>
    </row>
    <row r="376" spans="1:45" ht="34" customHeight="1">
      <c r="A376" s="13" t="s">
        <v>863</v>
      </c>
      <c r="B376" s="13" t="s">
        <v>864</v>
      </c>
      <c r="C376" s="13"/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1</v>
      </c>
      <c r="K376" s="13">
        <v>1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</row>
    <row r="377" spans="1:45" ht="34" customHeight="1">
      <c r="A377" s="13" t="s">
        <v>865</v>
      </c>
      <c r="B377" s="13" t="s">
        <v>866</v>
      </c>
      <c r="C377" s="13" t="s">
        <v>2125</v>
      </c>
      <c r="D377" s="13">
        <v>0</v>
      </c>
      <c r="E377" s="13">
        <v>1</v>
      </c>
      <c r="F377" s="13">
        <v>5</v>
      </c>
      <c r="G377" s="13">
        <v>0</v>
      </c>
      <c r="H377" s="13">
        <v>-4</v>
      </c>
      <c r="I377" s="13">
        <v>-1</v>
      </c>
      <c r="J377" s="13">
        <v>1</v>
      </c>
      <c r="K377" s="13">
        <v>2</v>
      </c>
      <c r="L377" s="13">
        <v>0</v>
      </c>
      <c r="M377" s="13">
        <v>-1</v>
      </c>
      <c r="N377" s="13">
        <v>-2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-4</v>
      </c>
    </row>
    <row r="378" spans="1:45" ht="34" customHeight="1">
      <c r="A378" s="13" t="s">
        <v>867</v>
      </c>
      <c r="B378" s="13" t="s">
        <v>868</v>
      </c>
      <c r="C378" s="13" t="s">
        <v>2126</v>
      </c>
      <c r="D378" s="13">
        <v>0</v>
      </c>
      <c r="E378" s="13">
        <v>1</v>
      </c>
      <c r="F378" s="13">
        <v>3</v>
      </c>
      <c r="G378" s="13">
        <v>0</v>
      </c>
      <c r="H378" s="13">
        <v>-2</v>
      </c>
      <c r="I378" s="13">
        <v>-2</v>
      </c>
      <c r="J378" s="13">
        <v>1</v>
      </c>
      <c r="K378" s="13">
        <v>1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-2</v>
      </c>
    </row>
    <row r="379" spans="1:45" ht="23" customHeight="1">
      <c r="A379" s="13" t="s">
        <v>870</v>
      </c>
      <c r="B379" s="13" t="s">
        <v>871</v>
      </c>
      <c r="C379" s="13"/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20</v>
      </c>
      <c r="K379" s="13">
        <v>4</v>
      </c>
      <c r="L379" s="13">
        <v>0</v>
      </c>
      <c r="M379" s="14">
        <v>16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4">
        <v>16</v>
      </c>
    </row>
    <row r="380" spans="1:45" ht="34" customHeight="1">
      <c r="A380" s="13" t="s">
        <v>872</v>
      </c>
      <c r="B380" s="13" t="s">
        <v>873</v>
      </c>
      <c r="C380" s="13"/>
      <c r="D380" s="13">
        <v>0</v>
      </c>
      <c r="E380" s="13">
        <v>5</v>
      </c>
      <c r="F380" s="13">
        <v>5</v>
      </c>
      <c r="G380" s="13">
        <v>0</v>
      </c>
      <c r="H380" s="13">
        <v>0</v>
      </c>
      <c r="I380" s="13">
        <v>0</v>
      </c>
      <c r="J380" s="13">
        <v>6</v>
      </c>
      <c r="K380" s="13">
        <v>6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4">
        <v>4</v>
      </c>
    </row>
    <row r="381" spans="1:45" ht="34" customHeight="1">
      <c r="A381" s="13" t="s">
        <v>874</v>
      </c>
      <c r="B381" s="13" t="s">
        <v>873</v>
      </c>
      <c r="C381" s="13"/>
      <c r="D381" s="13">
        <v>0</v>
      </c>
      <c r="E381" s="13">
        <v>3</v>
      </c>
      <c r="F381" s="13">
        <v>3</v>
      </c>
      <c r="G381" s="13">
        <v>0</v>
      </c>
      <c r="H381" s="13">
        <v>0</v>
      </c>
      <c r="I381" s="13">
        <v>0</v>
      </c>
      <c r="J381" s="13">
        <v>4</v>
      </c>
      <c r="K381" s="13">
        <v>3</v>
      </c>
      <c r="L381" s="13">
        <v>0</v>
      </c>
      <c r="M381" s="14">
        <v>1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4">
        <v>1</v>
      </c>
    </row>
    <row r="382" spans="1:45" ht="34" customHeight="1">
      <c r="A382" s="13" t="s">
        <v>875</v>
      </c>
      <c r="B382" s="13" t="s">
        <v>873</v>
      </c>
      <c r="C382" s="13"/>
      <c r="D382" s="13">
        <v>0</v>
      </c>
      <c r="E382" s="13">
        <v>2</v>
      </c>
      <c r="F382" s="13">
        <v>2</v>
      </c>
      <c r="G382" s="13">
        <v>0</v>
      </c>
      <c r="H382" s="13">
        <v>0</v>
      </c>
      <c r="I382" s="13">
        <v>0</v>
      </c>
      <c r="J382" s="13">
        <v>2</v>
      </c>
      <c r="K382" s="13">
        <v>2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4">
        <v>1</v>
      </c>
    </row>
    <row r="383" spans="1:45" ht="34" customHeight="1">
      <c r="A383" s="13" t="s">
        <v>876</v>
      </c>
      <c r="B383" s="13" t="s">
        <v>873</v>
      </c>
      <c r="C383" s="13"/>
      <c r="D383" s="13">
        <v>0</v>
      </c>
      <c r="E383" s="13">
        <v>2</v>
      </c>
      <c r="F383" s="13">
        <v>2</v>
      </c>
      <c r="G383" s="13">
        <v>0</v>
      </c>
      <c r="H383" s="13">
        <v>0</v>
      </c>
      <c r="I383" s="13">
        <v>0</v>
      </c>
      <c r="J383" s="13">
        <v>3</v>
      </c>
      <c r="K383" s="13">
        <v>3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4">
        <v>2</v>
      </c>
    </row>
    <row r="384" spans="1:45" ht="34" customHeight="1">
      <c r="A384" s="13" t="s">
        <v>877</v>
      </c>
      <c r="B384" s="13" t="s">
        <v>873</v>
      </c>
      <c r="C384" s="13"/>
      <c r="D384" s="13">
        <v>0</v>
      </c>
      <c r="E384" s="13">
        <v>6</v>
      </c>
      <c r="F384" s="13">
        <v>7</v>
      </c>
      <c r="G384" s="13">
        <v>0</v>
      </c>
      <c r="H384" s="13">
        <v>-1</v>
      </c>
      <c r="I384" s="13">
        <v>0</v>
      </c>
      <c r="J384" s="13">
        <v>6</v>
      </c>
      <c r="K384" s="13">
        <v>6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4">
        <v>4</v>
      </c>
    </row>
    <row r="385" spans="1:45" ht="34" customHeight="1">
      <c r="A385" s="13" t="s">
        <v>878</v>
      </c>
      <c r="B385" s="13" t="s">
        <v>873</v>
      </c>
      <c r="C385" s="13"/>
      <c r="D385" s="13">
        <v>0</v>
      </c>
      <c r="E385" s="13">
        <v>1</v>
      </c>
      <c r="F385" s="13">
        <v>1</v>
      </c>
      <c r="G385" s="13">
        <v>0</v>
      </c>
      <c r="H385" s="13">
        <v>0</v>
      </c>
      <c r="I385" s="13">
        <v>0</v>
      </c>
      <c r="J385" s="13">
        <v>1</v>
      </c>
      <c r="K385" s="13">
        <v>1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</row>
    <row r="386" spans="1:45" ht="34" customHeight="1">
      <c r="A386" s="13" t="s">
        <v>879</v>
      </c>
      <c r="B386" s="13" t="s">
        <v>873</v>
      </c>
      <c r="C386" s="13"/>
      <c r="D386" s="13">
        <v>1</v>
      </c>
      <c r="E386" s="13">
        <v>1</v>
      </c>
      <c r="F386" s="13">
        <v>1</v>
      </c>
      <c r="G386" s="13">
        <v>0</v>
      </c>
      <c r="H386" s="13">
        <v>0</v>
      </c>
      <c r="I386" s="13">
        <v>0</v>
      </c>
      <c r="J386" s="13">
        <v>2</v>
      </c>
      <c r="K386" s="13">
        <v>2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</row>
    <row r="387" spans="1:45" ht="34" customHeight="1">
      <c r="A387" s="13" t="s">
        <v>880</v>
      </c>
      <c r="B387" s="13" t="s">
        <v>873</v>
      </c>
      <c r="C387" s="13"/>
      <c r="D387" s="13">
        <v>0</v>
      </c>
      <c r="E387" s="13">
        <v>3</v>
      </c>
      <c r="F387" s="13">
        <v>3</v>
      </c>
      <c r="G387" s="13">
        <v>0</v>
      </c>
      <c r="H387" s="13">
        <v>0</v>
      </c>
      <c r="I387" s="13">
        <v>0</v>
      </c>
      <c r="J387" s="13">
        <v>3</v>
      </c>
      <c r="K387" s="13">
        <v>3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</row>
    <row r="388" spans="1:45" ht="34" customHeight="1">
      <c r="A388" s="13" t="s">
        <v>881</v>
      </c>
      <c r="B388" s="13" t="s">
        <v>873</v>
      </c>
      <c r="C388" s="13" t="s">
        <v>2127</v>
      </c>
      <c r="D388" s="13">
        <v>0</v>
      </c>
      <c r="E388" s="13">
        <v>1</v>
      </c>
      <c r="F388" s="13">
        <v>1</v>
      </c>
      <c r="G388" s="13">
        <v>0</v>
      </c>
      <c r="H388" s="13">
        <v>0</v>
      </c>
      <c r="I388" s="13">
        <v>0</v>
      </c>
      <c r="J388" s="13">
        <v>1</v>
      </c>
      <c r="K388" s="13">
        <v>1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</row>
    <row r="389" spans="1:45" ht="34" customHeight="1">
      <c r="A389" s="13" t="s">
        <v>882</v>
      </c>
      <c r="B389" s="13" t="s">
        <v>873</v>
      </c>
      <c r="C389" s="13"/>
      <c r="D389" s="13">
        <v>0</v>
      </c>
      <c r="E389" s="13">
        <v>1</v>
      </c>
      <c r="F389" s="13">
        <v>1</v>
      </c>
      <c r="G389" s="13">
        <v>0</v>
      </c>
      <c r="H389" s="13">
        <v>0</v>
      </c>
      <c r="I389" s="13">
        <v>0</v>
      </c>
      <c r="J389" s="13">
        <v>1</v>
      </c>
      <c r="K389" s="13">
        <v>1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</row>
    <row r="390" spans="1:45" ht="34" customHeight="1">
      <c r="A390" s="13" t="s">
        <v>883</v>
      </c>
      <c r="B390" s="13" t="s">
        <v>873</v>
      </c>
      <c r="C390" s="13"/>
      <c r="D390" s="13">
        <v>0</v>
      </c>
      <c r="E390" s="13">
        <v>6</v>
      </c>
      <c r="F390" s="13">
        <v>9</v>
      </c>
      <c r="G390" s="13">
        <v>0</v>
      </c>
      <c r="H390" s="13">
        <v>-3</v>
      </c>
      <c r="I390" s="13">
        <v>0</v>
      </c>
      <c r="J390" s="13">
        <v>6</v>
      </c>
      <c r="K390" s="13">
        <v>7</v>
      </c>
      <c r="L390" s="13">
        <v>0</v>
      </c>
      <c r="M390" s="13">
        <v>-1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4">
        <v>8</v>
      </c>
    </row>
    <row r="391" spans="1:45" ht="34" customHeight="1">
      <c r="A391" s="13" t="s">
        <v>884</v>
      </c>
      <c r="B391" s="13" t="s">
        <v>873</v>
      </c>
      <c r="C391" s="13"/>
      <c r="D391" s="13">
        <v>0</v>
      </c>
      <c r="E391" s="13">
        <v>1</v>
      </c>
      <c r="F391" s="13">
        <v>1</v>
      </c>
      <c r="G391" s="13">
        <v>0</v>
      </c>
      <c r="H391" s="13">
        <v>0</v>
      </c>
      <c r="I391" s="13">
        <v>0</v>
      </c>
      <c r="J391" s="13">
        <v>1</v>
      </c>
      <c r="K391" s="13">
        <v>1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</row>
    <row r="392" spans="1:45" ht="23" customHeight="1">
      <c r="A392" s="13" t="s">
        <v>885</v>
      </c>
      <c r="B392" s="13" t="s">
        <v>886</v>
      </c>
      <c r="C392" s="13"/>
      <c r="D392" s="13">
        <v>3</v>
      </c>
      <c r="E392" s="13">
        <v>5</v>
      </c>
      <c r="F392" s="13">
        <v>5</v>
      </c>
      <c r="G392" s="13">
        <v>0</v>
      </c>
      <c r="H392" s="13">
        <v>0</v>
      </c>
      <c r="I392" s="13">
        <v>0</v>
      </c>
      <c r="J392" s="13">
        <v>5</v>
      </c>
      <c r="K392" s="13">
        <v>4</v>
      </c>
      <c r="L392" s="13">
        <v>0</v>
      </c>
      <c r="M392" s="14">
        <v>1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4">
        <v>1</v>
      </c>
    </row>
    <row r="393" spans="1:45" ht="34" customHeight="1">
      <c r="A393" s="13" t="s">
        <v>888</v>
      </c>
      <c r="B393" s="13" t="s">
        <v>889</v>
      </c>
      <c r="C393" s="13" t="s">
        <v>2128</v>
      </c>
      <c r="D393" s="13">
        <v>0</v>
      </c>
      <c r="E393" s="13">
        <v>5</v>
      </c>
      <c r="F393" s="13">
        <v>30</v>
      </c>
      <c r="G393" s="13">
        <v>0</v>
      </c>
      <c r="H393" s="13">
        <v>-25</v>
      </c>
      <c r="I393" s="13">
        <v>0</v>
      </c>
      <c r="J393" s="13">
        <v>0</v>
      </c>
      <c r="K393" s="13">
        <v>5</v>
      </c>
      <c r="L393" s="13">
        <v>0</v>
      </c>
      <c r="M393" s="13">
        <v>-5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-30</v>
      </c>
    </row>
    <row r="394" spans="1:45" ht="23" customHeight="1">
      <c r="A394" s="13" t="s">
        <v>890</v>
      </c>
      <c r="B394" s="13" t="s">
        <v>891</v>
      </c>
      <c r="C394" s="13"/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1</v>
      </c>
      <c r="K394" s="13">
        <v>1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</row>
    <row r="395" spans="1:45" ht="23" customHeight="1">
      <c r="A395" s="13" t="s">
        <v>892</v>
      </c>
      <c r="B395" s="13" t="s">
        <v>893</v>
      </c>
      <c r="C395" s="13"/>
      <c r="D395" s="13">
        <v>0</v>
      </c>
      <c r="E395" s="13">
        <v>1</v>
      </c>
      <c r="F395" s="13">
        <v>1</v>
      </c>
      <c r="G395" s="13">
        <v>0</v>
      </c>
      <c r="H395" s="13">
        <v>0</v>
      </c>
      <c r="I395" s="13">
        <v>0</v>
      </c>
      <c r="J395" s="13">
        <v>1</v>
      </c>
      <c r="K395" s="13">
        <v>1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</row>
    <row r="396" spans="1:45" ht="23" customHeight="1">
      <c r="A396" s="13" t="s">
        <v>894</v>
      </c>
      <c r="B396" s="13" t="s">
        <v>893</v>
      </c>
      <c r="C396" s="13" t="s">
        <v>2129</v>
      </c>
      <c r="D396" s="13">
        <v>0</v>
      </c>
      <c r="E396" s="13">
        <v>1</v>
      </c>
      <c r="F396" s="13">
        <v>2</v>
      </c>
      <c r="G396" s="13">
        <v>0</v>
      </c>
      <c r="H396" s="13">
        <v>-1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</row>
    <row r="397" spans="1:45" ht="23" customHeight="1">
      <c r="A397" s="13" t="s">
        <v>896</v>
      </c>
      <c r="B397" s="13" t="s">
        <v>893</v>
      </c>
      <c r="C397" s="13" t="s">
        <v>2130</v>
      </c>
      <c r="D397" s="13">
        <v>0</v>
      </c>
      <c r="E397" s="13">
        <v>1</v>
      </c>
      <c r="F397" s="13">
        <v>2</v>
      </c>
      <c r="G397" s="13">
        <v>0</v>
      </c>
      <c r="H397" s="13">
        <v>-1</v>
      </c>
      <c r="I397" s="13">
        <v>-1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-1</v>
      </c>
    </row>
    <row r="398" spans="1:45" ht="34" customHeight="1">
      <c r="A398" s="13" t="s">
        <v>898</v>
      </c>
      <c r="B398" s="13" t="s">
        <v>899</v>
      </c>
      <c r="C398" s="13" t="s">
        <v>2131</v>
      </c>
      <c r="D398" s="13">
        <v>12</v>
      </c>
      <c r="E398" s="13">
        <v>1</v>
      </c>
      <c r="F398" s="13">
        <v>6</v>
      </c>
      <c r="G398" s="13">
        <v>0</v>
      </c>
      <c r="H398" s="13">
        <v>-5</v>
      </c>
      <c r="I398" s="13">
        <v>-15</v>
      </c>
      <c r="J398" s="13">
        <v>1</v>
      </c>
      <c r="K398" s="13">
        <v>2</v>
      </c>
      <c r="L398" s="13">
        <v>0</v>
      </c>
      <c r="M398" s="13">
        <v>-1</v>
      </c>
      <c r="N398" s="13">
        <v>-4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-6</v>
      </c>
    </row>
    <row r="399" spans="1:45" ht="23" customHeight="1">
      <c r="A399" s="13" t="s">
        <v>901</v>
      </c>
      <c r="B399" s="13" t="s">
        <v>902</v>
      </c>
      <c r="C399" s="13" t="s">
        <v>2132</v>
      </c>
      <c r="D399" s="13">
        <v>0</v>
      </c>
      <c r="E399" s="13">
        <v>1</v>
      </c>
      <c r="F399" s="13">
        <v>6</v>
      </c>
      <c r="G399" s="13">
        <v>0</v>
      </c>
      <c r="H399" s="13">
        <v>-5</v>
      </c>
      <c r="I399" s="13">
        <v>0</v>
      </c>
      <c r="J399" s="13">
        <v>1</v>
      </c>
      <c r="K399" s="13">
        <v>1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-3</v>
      </c>
    </row>
    <row r="400" spans="1:45" ht="20" customHeight="1">
      <c r="A400" s="13" t="s">
        <v>904</v>
      </c>
      <c r="B400" s="13" t="s">
        <v>905</v>
      </c>
      <c r="C400" s="13" t="s">
        <v>2133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1</v>
      </c>
      <c r="K400" s="13">
        <v>0</v>
      </c>
      <c r="L400" s="13">
        <v>0</v>
      </c>
      <c r="M400" s="14">
        <v>1</v>
      </c>
      <c r="N400" s="13">
        <v>-1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4">
        <v>1</v>
      </c>
    </row>
    <row r="401" spans="1:45" ht="23" customHeight="1">
      <c r="A401" s="13" t="s">
        <v>906</v>
      </c>
      <c r="B401" s="13" t="s">
        <v>907</v>
      </c>
      <c r="C401" s="13"/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1</v>
      </c>
      <c r="K401" s="13">
        <v>1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</row>
    <row r="402" spans="1:45" ht="23" customHeight="1">
      <c r="A402" s="13" t="s">
        <v>909</v>
      </c>
      <c r="B402" s="13" t="s">
        <v>910</v>
      </c>
      <c r="C402" s="13"/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1</v>
      </c>
      <c r="K402" s="13">
        <v>1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</row>
    <row r="403" spans="1:45" ht="23" customHeight="1">
      <c r="A403" s="13" t="s">
        <v>912</v>
      </c>
      <c r="B403" s="13" t="s">
        <v>913</v>
      </c>
      <c r="C403" s="13" t="s">
        <v>2134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10</v>
      </c>
      <c r="K403" s="13">
        <v>10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</row>
    <row r="404" spans="1:45" ht="20" customHeight="1">
      <c r="A404" s="13" t="s">
        <v>914</v>
      </c>
      <c r="B404" s="13" t="s">
        <v>915</v>
      </c>
      <c r="C404" s="13"/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6</v>
      </c>
      <c r="K404" s="13">
        <v>6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</row>
    <row r="405" spans="1:45" ht="20" customHeight="1">
      <c r="A405" s="13" t="s">
        <v>916</v>
      </c>
      <c r="B405" s="13" t="s">
        <v>915</v>
      </c>
      <c r="C405" s="13"/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2</v>
      </c>
      <c r="K405" s="13">
        <v>2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</row>
    <row r="406" spans="1:45" ht="20" customHeight="1">
      <c r="A406" s="13" t="s">
        <v>917</v>
      </c>
      <c r="B406" s="13" t="s">
        <v>918</v>
      </c>
      <c r="C406" s="13"/>
      <c r="D406" s="13">
        <v>0</v>
      </c>
      <c r="E406" s="13">
        <v>0</v>
      </c>
      <c r="F406" s="13">
        <v>8</v>
      </c>
      <c r="G406" s="13">
        <v>0</v>
      </c>
      <c r="H406" s="13">
        <v>-8</v>
      </c>
      <c r="I406" s="13">
        <v>0</v>
      </c>
      <c r="J406" s="13">
        <v>6</v>
      </c>
      <c r="K406" s="13">
        <v>10</v>
      </c>
      <c r="L406" s="13">
        <v>0</v>
      </c>
      <c r="M406" s="13">
        <v>-4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4">
        <v>1</v>
      </c>
    </row>
    <row r="407" spans="1:45" ht="20" customHeight="1">
      <c r="A407" s="13" t="s">
        <v>919</v>
      </c>
      <c r="B407" s="13" t="s">
        <v>920</v>
      </c>
      <c r="C407" s="13"/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8</v>
      </c>
      <c r="K407" s="13">
        <v>8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4">
        <v>6</v>
      </c>
    </row>
    <row r="408" spans="1:45" ht="20" customHeight="1">
      <c r="A408" s="13" t="s">
        <v>921</v>
      </c>
      <c r="B408" s="13" t="s">
        <v>922</v>
      </c>
      <c r="C408" s="13" t="s">
        <v>2135</v>
      </c>
      <c r="D408" s="13">
        <v>0</v>
      </c>
      <c r="E408" s="13">
        <v>0</v>
      </c>
      <c r="F408" s="13">
        <v>1</v>
      </c>
      <c r="G408" s="13">
        <v>0</v>
      </c>
      <c r="H408" s="13">
        <v>-1</v>
      </c>
      <c r="I408" s="13">
        <v>0</v>
      </c>
      <c r="J408" s="13">
        <v>1</v>
      </c>
      <c r="K408" s="13">
        <v>1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-1</v>
      </c>
    </row>
    <row r="409" spans="1:45" ht="23" customHeight="1">
      <c r="A409" s="13" t="s">
        <v>924</v>
      </c>
      <c r="B409" s="13" t="s">
        <v>925</v>
      </c>
      <c r="C409" s="13" t="s">
        <v>2136</v>
      </c>
      <c r="D409" s="13">
        <v>0</v>
      </c>
      <c r="E409" s="13">
        <v>1</v>
      </c>
      <c r="F409" s="13">
        <v>1</v>
      </c>
      <c r="G409" s="13">
        <v>0</v>
      </c>
      <c r="H409" s="13">
        <v>0</v>
      </c>
      <c r="I409" s="13">
        <v>0</v>
      </c>
      <c r="J409" s="13">
        <v>1</v>
      </c>
      <c r="K409" s="13">
        <v>1</v>
      </c>
      <c r="L409" s="13">
        <v>0</v>
      </c>
      <c r="M409" s="13">
        <v>0</v>
      </c>
      <c r="N409" s="13">
        <v>-1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</row>
    <row r="410" spans="1:45" ht="23" customHeight="1">
      <c r="A410" s="13" t="s">
        <v>927</v>
      </c>
      <c r="B410" s="13" t="s">
        <v>229</v>
      </c>
      <c r="C410" s="13" t="s">
        <v>2137</v>
      </c>
      <c r="D410" s="13">
        <v>1</v>
      </c>
      <c r="E410" s="13">
        <v>2</v>
      </c>
      <c r="F410" s="13">
        <v>10</v>
      </c>
      <c r="G410" s="13">
        <v>0</v>
      </c>
      <c r="H410" s="13">
        <v>-8</v>
      </c>
      <c r="I410" s="13">
        <v>-16</v>
      </c>
      <c r="J410" s="13">
        <v>2</v>
      </c>
      <c r="K410" s="13">
        <v>3</v>
      </c>
      <c r="L410" s="13">
        <v>0</v>
      </c>
      <c r="M410" s="13">
        <v>-1</v>
      </c>
      <c r="N410" s="13">
        <v>-5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1</v>
      </c>
      <c r="AP410" s="13">
        <v>0</v>
      </c>
      <c r="AQ410" s="13">
        <v>-1</v>
      </c>
      <c r="AR410" s="13">
        <v>0</v>
      </c>
      <c r="AS410" s="13">
        <v>-10</v>
      </c>
    </row>
    <row r="411" spans="1:45" ht="20" customHeight="1">
      <c r="A411" s="13" t="s">
        <v>929</v>
      </c>
      <c r="B411" s="13" t="s">
        <v>930</v>
      </c>
      <c r="C411" s="13"/>
      <c r="D411" s="13">
        <v>0</v>
      </c>
      <c r="E411" s="13">
        <v>1</v>
      </c>
      <c r="F411" s="13">
        <v>10</v>
      </c>
      <c r="G411" s="13">
        <v>0</v>
      </c>
      <c r="H411" s="13">
        <v>-9</v>
      </c>
      <c r="I411" s="13">
        <v>-21</v>
      </c>
      <c r="J411" s="13">
        <v>2</v>
      </c>
      <c r="K411" s="13">
        <v>4</v>
      </c>
      <c r="L411" s="13">
        <v>0</v>
      </c>
      <c r="M411" s="13">
        <v>-2</v>
      </c>
      <c r="N411" s="13">
        <v>-3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-9</v>
      </c>
    </row>
    <row r="412" spans="1:45" ht="23" customHeight="1">
      <c r="A412" s="13" t="s">
        <v>932</v>
      </c>
      <c r="B412" s="13" t="s">
        <v>933</v>
      </c>
      <c r="C412" s="13"/>
      <c r="D412" s="13">
        <v>0</v>
      </c>
      <c r="E412" s="13">
        <v>1</v>
      </c>
      <c r="F412" s="13">
        <v>2</v>
      </c>
      <c r="G412" s="13">
        <v>0</v>
      </c>
      <c r="H412" s="13">
        <v>-1</v>
      </c>
      <c r="I412" s="13">
        <v>-3</v>
      </c>
      <c r="J412" s="13">
        <v>0</v>
      </c>
      <c r="K412" s="13">
        <v>1</v>
      </c>
      <c r="L412" s="13">
        <v>0</v>
      </c>
      <c r="M412" s="13">
        <v>-1</v>
      </c>
      <c r="N412" s="13">
        <v>-3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-2</v>
      </c>
    </row>
    <row r="413" spans="1:45" ht="23" customHeight="1">
      <c r="A413" s="13" t="s">
        <v>934</v>
      </c>
      <c r="B413" s="13" t="s">
        <v>935</v>
      </c>
      <c r="C413" s="13" t="s">
        <v>2138</v>
      </c>
      <c r="D413" s="13">
        <v>3</v>
      </c>
      <c r="E413" s="13">
        <v>2</v>
      </c>
      <c r="F413" s="13">
        <v>2</v>
      </c>
      <c r="G413" s="13">
        <v>0</v>
      </c>
      <c r="H413" s="13">
        <v>0</v>
      </c>
      <c r="I413" s="13">
        <v>-10</v>
      </c>
      <c r="J413" s="13">
        <v>1</v>
      </c>
      <c r="K413" s="13">
        <v>1</v>
      </c>
      <c r="L413" s="13">
        <v>0</v>
      </c>
      <c r="M413" s="13">
        <v>0</v>
      </c>
      <c r="N413" s="13">
        <v>-3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</row>
    <row r="414" spans="1:45" ht="20" customHeight="1">
      <c r="A414" s="13" t="s">
        <v>936</v>
      </c>
      <c r="B414" s="13" t="s">
        <v>930</v>
      </c>
      <c r="C414" s="13"/>
      <c r="D414" s="13">
        <v>0</v>
      </c>
      <c r="E414" s="13">
        <v>1</v>
      </c>
      <c r="F414" s="13">
        <v>1</v>
      </c>
      <c r="G414" s="13">
        <v>0</v>
      </c>
      <c r="H414" s="13">
        <v>0</v>
      </c>
      <c r="I414" s="13">
        <v>0</v>
      </c>
      <c r="J414" s="13">
        <v>1</v>
      </c>
      <c r="K414" s="13">
        <v>2</v>
      </c>
      <c r="L414" s="13">
        <v>0</v>
      </c>
      <c r="M414" s="13">
        <v>-1</v>
      </c>
      <c r="N414" s="13">
        <v>-6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-1</v>
      </c>
    </row>
    <row r="415" spans="1:45" ht="20" customHeight="1">
      <c r="A415" s="13" t="s">
        <v>937</v>
      </c>
      <c r="B415" s="13" t="s">
        <v>938</v>
      </c>
      <c r="C415" s="13"/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-1</v>
      </c>
      <c r="J415" s="13">
        <v>1</v>
      </c>
      <c r="K415" s="13">
        <v>0</v>
      </c>
      <c r="L415" s="13">
        <v>0</v>
      </c>
      <c r="M415" s="14">
        <v>1</v>
      </c>
      <c r="N415" s="13">
        <v>-1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4">
        <v>1</v>
      </c>
    </row>
    <row r="416" spans="1:45" ht="23" customHeight="1">
      <c r="A416" s="13" t="s">
        <v>940</v>
      </c>
      <c r="B416" s="13" t="s">
        <v>941</v>
      </c>
      <c r="C416" s="13"/>
      <c r="D416" s="13">
        <v>0</v>
      </c>
      <c r="E416" s="13">
        <v>1</v>
      </c>
      <c r="F416" s="13">
        <v>5</v>
      </c>
      <c r="G416" s="13">
        <v>0</v>
      </c>
      <c r="H416" s="13">
        <v>-4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-1</v>
      </c>
    </row>
    <row r="417" spans="1:45" ht="34" customHeight="1">
      <c r="A417" s="13" t="s">
        <v>943</v>
      </c>
      <c r="B417" s="13" t="s">
        <v>944</v>
      </c>
      <c r="C417" s="13"/>
      <c r="D417" s="13">
        <v>0</v>
      </c>
      <c r="E417" s="13">
        <v>1</v>
      </c>
      <c r="F417" s="13">
        <v>3</v>
      </c>
      <c r="G417" s="13">
        <v>0</v>
      </c>
      <c r="H417" s="13">
        <v>-2</v>
      </c>
      <c r="I417" s="13">
        <v>0</v>
      </c>
      <c r="J417" s="13">
        <v>0</v>
      </c>
      <c r="K417" s="13">
        <v>2</v>
      </c>
      <c r="L417" s="13">
        <v>0</v>
      </c>
      <c r="M417" s="13">
        <v>-2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-3</v>
      </c>
    </row>
    <row r="418" spans="1:45" ht="23" customHeight="1">
      <c r="A418" s="13" t="s">
        <v>945</v>
      </c>
      <c r="B418" s="13" t="s">
        <v>373</v>
      </c>
      <c r="C418" s="13"/>
      <c r="D418" s="13">
        <v>0</v>
      </c>
      <c r="E418" s="13">
        <v>1</v>
      </c>
      <c r="F418" s="13">
        <v>1</v>
      </c>
      <c r="G418" s="13">
        <v>0</v>
      </c>
      <c r="H418" s="13">
        <v>0</v>
      </c>
      <c r="I418" s="13">
        <v>-1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</row>
    <row r="419" spans="1:45" ht="23" customHeight="1">
      <c r="A419" s="13" t="s">
        <v>946</v>
      </c>
      <c r="B419" s="13" t="s">
        <v>373</v>
      </c>
      <c r="C419" s="13"/>
      <c r="D419" s="13">
        <v>0</v>
      </c>
      <c r="E419" s="13">
        <v>0</v>
      </c>
      <c r="F419" s="13">
        <v>3</v>
      </c>
      <c r="G419" s="13">
        <v>0</v>
      </c>
      <c r="H419" s="13">
        <v>-3</v>
      </c>
      <c r="I419" s="13">
        <v>-1</v>
      </c>
      <c r="J419" s="13">
        <v>1</v>
      </c>
      <c r="K419" s="13">
        <v>1</v>
      </c>
      <c r="L419" s="13">
        <v>0</v>
      </c>
      <c r="M419" s="13">
        <v>0</v>
      </c>
      <c r="N419" s="13">
        <v>-1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-2</v>
      </c>
    </row>
    <row r="420" spans="1:45" ht="23" customHeight="1">
      <c r="A420" s="13" t="s">
        <v>947</v>
      </c>
      <c r="B420" s="13" t="s">
        <v>373</v>
      </c>
      <c r="C420" s="13"/>
      <c r="D420" s="13">
        <v>0</v>
      </c>
      <c r="E420" s="13">
        <v>0</v>
      </c>
      <c r="F420" s="13">
        <v>1</v>
      </c>
      <c r="G420" s="13">
        <v>0</v>
      </c>
      <c r="H420" s="13">
        <v>-1</v>
      </c>
      <c r="I420" s="13">
        <v>-1</v>
      </c>
      <c r="J420" s="13">
        <v>1</v>
      </c>
      <c r="K420" s="13">
        <v>1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-1</v>
      </c>
    </row>
    <row r="421" spans="1:45" ht="23" customHeight="1">
      <c r="A421" s="13" t="s">
        <v>948</v>
      </c>
      <c r="B421" s="13" t="s">
        <v>50</v>
      </c>
      <c r="C421" s="13"/>
      <c r="D421" s="13">
        <v>0</v>
      </c>
      <c r="E421" s="13">
        <v>1</v>
      </c>
      <c r="F421" s="13">
        <v>9</v>
      </c>
      <c r="G421" s="13">
        <v>0</v>
      </c>
      <c r="H421" s="13">
        <v>-8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</row>
    <row r="422" spans="1:45" ht="23" customHeight="1">
      <c r="A422" s="13" t="s">
        <v>949</v>
      </c>
      <c r="B422" s="13" t="s">
        <v>950</v>
      </c>
      <c r="C422" s="13"/>
      <c r="D422" s="13">
        <v>0</v>
      </c>
      <c r="E422" s="13">
        <v>1</v>
      </c>
      <c r="F422" s="13">
        <v>1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</row>
    <row r="423" spans="1:45" ht="23" customHeight="1">
      <c r="A423" s="13" t="s">
        <v>951</v>
      </c>
      <c r="B423" s="13" t="s">
        <v>375</v>
      </c>
      <c r="C423" s="13"/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1</v>
      </c>
      <c r="K423" s="13">
        <v>1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</row>
    <row r="424" spans="1:45" ht="23" customHeight="1">
      <c r="A424" s="13" t="s">
        <v>952</v>
      </c>
      <c r="B424" s="13" t="s">
        <v>375</v>
      </c>
      <c r="C424" s="13"/>
      <c r="D424" s="13">
        <v>0</v>
      </c>
      <c r="E424" s="13">
        <v>0</v>
      </c>
      <c r="F424" s="13">
        <v>2</v>
      </c>
      <c r="G424" s="13">
        <v>0</v>
      </c>
      <c r="H424" s="13">
        <v>-2</v>
      </c>
      <c r="I424" s="13">
        <v>0</v>
      </c>
      <c r="J424" s="13">
        <v>1</v>
      </c>
      <c r="K424" s="13">
        <v>1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-1</v>
      </c>
    </row>
    <row r="425" spans="1:45" ht="23" customHeight="1">
      <c r="A425" s="13" t="s">
        <v>953</v>
      </c>
      <c r="B425" s="13" t="s">
        <v>377</v>
      </c>
      <c r="C425" s="13"/>
      <c r="D425" s="13">
        <v>0</v>
      </c>
      <c r="E425" s="13">
        <v>1</v>
      </c>
      <c r="F425" s="13">
        <v>3</v>
      </c>
      <c r="G425" s="13">
        <v>0</v>
      </c>
      <c r="H425" s="13">
        <v>-2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</row>
    <row r="426" spans="1:45" ht="23" customHeight="1">
      <c r="A426" s="13" t="s">
        <v>955</v>
      </c>
      <c r="B426" s="13" t="s">
        <v>956</v>
      </c>
      <c r="C426" s="13"/>
      <c r="D426" s="13">
        <v>0</v>
      </c>
      <c r="E426" s="13">
        <v>1</v>
      </c>
      <c r="F426" s="13">
        <v>5</v>
      </c>
      <c r="G426" s="13">
        <v>0</v>
      </c>
      <c r="H426" s="13">
        <v>-4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-1</v>
      </c>
    </row>
    <row r="427" spans="1:45" ht="23" customHeight="1">
      <c r="A427" s="13" t="s">
        <v>957</v>
      </c>
      <c r="B427" s="13" t="s">
        <v>958</v>
      </c>
      <c r="C427" s="13" t="s">
        <v>2139</v>
      </c>
      <c r="D427" s="13">
        <v>3</v>
      </c>
      <c r="E427" s="13">
        <v>1</v>
      </c>
      <c r="F427" s="13">
        <v>2</v>
      </c>
      <c r="G427" s="13">
        <v>0</v>
      </c>
      <c r="H427" s="13">
        <v>-1</v>
      </c>
      <c r="I427" s="13">
        <v>-2</v>
      </c>
      <c r="J427" s="13">
        <v>0</v>
      </c>
      <c r="K427" s="13">
        <v>0</v>
      </c>
      <c r="L427" s="13">
        <v>0</v>
      </c>
      <c r="M427" s="13">
        <v>0</v>
      </c>
      <c r="N427" s="13">
        <v>-5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-1</v>
      </c>
    </row>
    <row r="428" spans="1:45" ht="23" customHeight="1">
      <c r="A428" s="13" t="s">
        <v>959</v>
      </c>
      <c r="B428" s="13" t="s">
        <v>960</v>
      </c>
      <c r="C428" s="13" t="s">
        <v>2139</v>
      </c>
      <c r="D428" s="13">
        <v>8</v>
      </c>
      <c r="E428" s="13">
        <v>2</v>
      </c>
      <c r="F428" s="13">
        <v>6</v>
      </c>
      <c r="G428" s="13">
        <v>0</v>
      </c>
      <c r="H428" s="13">
        <v>-4</v>
      </c>
      <c r="I428" s="13">
        <v>-14</v>
      </c>
      <c r="J428" s="13">
        <v>1</v>
      </c>
      <c r="K428" s="13">
        <v>6</v>
      </c>
      <c r="L428" s="13">
        <v>0</v>
      </c>
      <c r="M428" s="13">
        <v>-5</v>
      </c>
      <c r="N428" s="13">
        <v>-10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-9</v>
      </c>
    </row>
    <row r="429" spans="1:45" ht="23" customHeight="1">
      <c r="A429" s="13" t="s">
        <v>961</v>
      </c>
      <c r="B429" s="13" t="s">
        <v>61</v>
      </c>
      <c r="C429" s="13"/>
      <c r="D429" s="13">
        <v>1</v>
      </c>
      <c r="E429" s="13">
        <v>1</v>
      </c>
      <c r="F429" s="13">
        <v>1</v>
      </c>
      <c r="G429" s="13">
        <v>0</v>
      </c>
      <c r="H429" s="13">
        <v>0</v>
      </c>
      <c r="I429" s="13">
        <v>-1</v>
      </c>
      <c r="J429" s="13">
        <v>1</v>
      </c>
      <c r="K429" s="13">
        <v>1</v>
      </c>
      <c r="L429" s="13">
        <v>0</v>
      </c>
      <c r="M429" s="13">
        <v>0</v>
      </c>
      <c r="N429" s="13">
        <v>-1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</row>
    <row r="430" spans="1:45" ht="20" customHeight="1">
      <c r="A430" s="13" t="s">
        <v>962</v>
      </c>
      <c r="B430" s="13" t="s">
        <v>963</v>
      </c>
      <c r="C430" s="13" t="s">
        <v>2140</v>
      </c>
      <c r="D430" s="13">
        <v>0</v>
      </c>
      <c r="E430" s="13">
        <v>1</v>
      </c>
      <c r="F430" s="13">
        <v>2</v>
      </c>
      <c r="G430" s="13">
        <v>0</v>
      </c>
      <c r="H430" s="13">
        <v>-1</v>
      </c>
      <c r="I430" s="13">
        <v>-1</v>
      </c>
      <c r="J430" s="13">
        <v>0</v>
      </c>
      <c r="K430" s="13">
        <v>0</v>
      </c>
      <c r="L430" s="13">
        <v>0</v>
      </c>
      <c r="M430" s="13">
        <v>0</v>
      </c>
      <c r="N430" s="13">
        <v>-7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-1</v>
      </c>
    </row>
    <row r="431" spans="1:45" ht="20" customHeight="1">
      <c r="A431" s="13" t="s">
        <v>964</v>
      </c>
      <c r="B431" s="13" t="s">
        <v>963</v>
      </c>
      <c r="C431" s="13" t="s">
        <v>2141</v>
      </c>
      <c r="D431" s="13">
        <v>0</v>
      </c>
      <c r="E431" s="13">
        <v>1</v>
      </c>
      <c r="F431" s="13">
        <v>1</v>
      </c>
      <c r="G431" s="13">
        <v>0</v>
      </c>
      <c r="H431" s="13">
        <v>0</v>
      </c>
      <c r="I431" s="13">
        <v>-1</v>
      </c>
      <c r="J431" s="13">
        <v>0</v>
      </c>
      <c r="K431" s="13">
        <v>0</v>
      </c>
      <c r="L431" s="13">
        <v>0</v>
      </c>
      <c r="M431" s="13">
        <v>0</v>
      </c>
      <c r="N431" s="13">
        <v>-7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</row>
    <row r="432" spans="1:45" ht="20" customHeight="1">
      <c r="A432" s="13" t="s">
        <v>965</v>
      </c>
      <c r="B432" s="13" t="s">
        <v>963</v>
      </c>
      <c r="C432" s="13" t="s">
        <v>2142</v>
      </c>
      <c r="D432" s="13">
        <v>0</v>
      </c>
      <c r="E432" s="13">
        <v>1</v>
      </c>
      <c r="F432" s="13">
        <v>4</v>
      </c>
      <c r="G432" s="13">
        <v>0</v>
      </c>
      <c r="H432" s="13">
        <v>-3</v>
      </c>
      <c r="I432" s="13">
        <v>-1</v>
      </c>
      <c r="J432" s="13">
        <v>0</v>
      </c>
      <c r="K432" s="13">
        <v>0</v>
      </c>
      <c r="L432" s="13">
        <v>0</v>
      </c>
      <c r="M432" s="13">
        <v>0</v>
      </c>
      <c r="N432" s="13">
        <v>-10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-3</v>
      </c>
    </row>
    <row r="433" spans="1:45" ht="20" customHeight="1">
      <c r="A433" s="13" t="s">
        <v>966</v>
      </c>
      <c r="B433" s="13" t="s">
        <v>963</v>
      </c>
      <c r="C433" s="13" t="s">
        <v>2143</v>
      </c>
      <c r="D433" s="13">
        <v>0</v>
      </c>
      <c r="E433" s="13">
        <v>1</v>
      </c>
      <c r="F433" s="13">
        <v>2</v>
      </c>
      <c r="G433" s="13">
        <v>0</v>
      </c>
      <c r="H433" s="13">
        <v>-1</v>
      </c>
      <c r="I433" s="13">
        <v>-1</v>
      </c>
      <c r="J433" s="13">
        <v>0</v>
      </c>
      <c r="K433" s="13">
        <v>1</v>
      </c>
      <c r="L433" s="13">
        <v>0</v>
      </c>
      <c r="M433" s="13">
        <v>-1</v>
      </c>
      <c r="N433" s="13">
        <v>-9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-2</v>
      </c>
    </row>
    <row r="434" spans="1:45" ht="23" customHeight="1">
      <c r="A434" s="13" t="s">
        <v>968</v>
      </c>
      <c r="B434" s="13" t="s">
        <v>969</v>
      </c>
      <c r="C434" s="13" t="s">
        <v>2144</v>
      </c>
      <c r="D434" s="13">
        <v>0</v>
      </c>
      <c r="E434" s="13">
        <v>1</v>
      </c>
      <c r="F434" s="13">
        <v>1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</row>
    <row r="435" spans="1:45" ht="34" customHeight="1">
      <c r="A435" s="13" t="s">
        <v>970</v>
      </c>
      <c r="B435" s="13" t="s">
        <v>944</v>
      </c>
      <c r="C435" s="13"/>
      <c r="D435" s="13">
        <v>0</v>
      </c>
      <c r="E435" s="13">
        <v>1</v>
      </c>
      <c r="F435" s="13">
        <v>2</v>
      </c>
      <c r="G435" s="13">
        <v>0</v>
      </c>
      <c r="H435" s="13">
        <v>-1</v>
      </c>
      <c r="I435" s="13">
        <v>-1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-1</v>
      </c>
    </row>
    <row r="436" spans="1:45" ht="23" customHeight="1">
      <c r="A436" s="13" t="s">
        <v>971</v>
      </c>
      <c r="B436" s="13" t="s">
        <v>972</v>
      </c>
      <c r="C436" s="13" t="s">
        <v>2145</v>
      </c>
      <c r="D436" s="13">
        <v>0</v>
      </c>
      <c r="E436" s="13">
        <v>1</v>
      </c>
      <c r="F436" s="13">
        <v>1</v>
      </c>
      <c r="G436" s="13">
        <v>0</v>
      </c>
      <c r="H436" s="13">
        <v>0</v>
      </c>
      <c r="I436" s="13">
        <v>0</v>
      </c>
      <c r="J436" s="13">
        <v>1</v>
      </c>
      <c r="K436" s="13">
        <v>1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</row>
    <row r="437" spans="1:45" ht="23" customHeight="1">
      <c r="A437" s="13" t="s">
        <v>974</v>
      </c>
      <c r="B437" s="13" t="s">
        <v>975</v>
      </c>
      <c r="C437" s="13" t="s">
        <v>2146</v>
      </c>
      <c r="D437" s="13">
        <v>0</v>
      </c>
      <c r="E437" s="13">
        <v>1</v>
      </c>
      <c r="F437" s="13">
        <v>1</v>
      </c>
      <c r="G437" s="13">
        <v>0</v>
      </c>
      <c r="H437" s="13">
        <v>0</v>
      </c>
      <c r="I437" s="13">
        <v>0</v>
      </c>
      <c r="J437" s="13">
        <v>1</v>
      </c>
      <c r="K437" s="13">
        <v>1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</row>
    <row r="438" spans="1:45" ht="23" customHeight="1">
      <c r="A438" s="13" t="s">
        <v>976</v>
      </c>
      <c r="B438" s="13" t="s">
        <v>977</v>
      </c>
      <c r="C438" s="13" t="s">
        <v>2147</v>
      </c>
      <c r="D438" s="13">
        <v>0</v>
      </c>
      <c r="E438" s="13">
        <v>1</v>
      </c>
      <c r="F438" s="13">
        <v>4</v>
      </c>
      <c r="G438" s="13">
        <v>0</v>
      </c>
      <c r="H438" s="13">
        <v>-3</v>
      </c>
      <c r="I438" s="13">
        <v>-1</v>
      </c>
      <c r="J438" s="13">
        <v>1</v>
      </c>
      <c r="K438" s="13">
        <v>1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-2</v>
      </c>
    </row>
    <row r="439" spans="1:45" ht="34" customHeight="1">
      <c r="A439" s="13" t="s">
        <v>978</v>
      </c>
      <c r="B439" s="13" t="s">
        <v>979</v>
      </c>
      <c r="C439" s="13"/>
      <c r="D439" s="13">
        <v>0</v>
      </c>
      <c r="E439" s="13">
        <v>1</v>
      </c>
      <c r="F439" s="13">
        <v>1</v>
      </c>
      <c r="G439" s="13">
        <v>0</v>
      </c>
      <c r="H439" s="13">
        <v>0</v>
      </c>
      <c r="I439" s="13">
        <v>0</v>
      </c>
      <c r="J439" s="13">
        <v>1</v>
      </c>
      <c r="K439" s="13">
        <v>1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</row>
    <row r="440" spans="1:45" ht="23" customHeight="1">
      <c r="A440" s="13" t="s">
        <v>980</v>
      </c>
      <c r="B440" s="13" t="s">
        <v>969</v>
      </c>
      <c r="C440" s="13" t="s">
        <v>2148</v>
      </c>
      <c r="D440" s="13">
        <v>0</v>
      </c>
      <c r="E440" s="13">
        <v>1</v>
      </c>
      <c r="F440" s="13">
        <v>1</v>
      </c>
      <c r="G440" s="13">
        <v>0</v>
      </c>
      <c r="H440" s="13">
        <v>0</v>
      </c>
      <c r="I440" s="13">
        <v>-1</v>
      </c>
      <c r="J440" s="13">
        <v>1</v>
      </c>
      <c r="K440" s="13">
        <v>1</v>
      </c>
      <c r="L440" s="13">
        <v>0</v>
      </c>
      <c r="M440" s="13">
        <v>0</v>
      </c>
      <c r="N440" s="13">
        <v>-2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</row>
    <row r="441" spans="1:45" ht="23" customHeight="1">
      <c r="A441" s="13" t="s">
        <v>981</v>
      </c>
      <c r="B441" s="13" t="s">
        <v>982</v>
      </c>
      <c r="C441" s="13"/>
      <c r="D441" s="13">
        <v>0</v>
      </c>
      <c r="E441" s="13">
        <v>1</v>
      </c>
      <c r="F441" s="13">
        <v>3</v>
      </c>
      <c r="G441" s="13">
        <v>0</v>
      </c>
      <c r="H441" s="13">
        <v>-2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-2</v>
      </c>
    </row>
    <row r="442" spans="1:45" ht="20" customHeight="1">
      <c r="A442" s="13" t="s">
        <v>983</v>
      </c>
      <c r="B442" s="13" t="s">
        <v>984</v>
      </c>
      <c r="C442" s="13"/>
      <c r="D442" s="13">
        <v>0</v>
      </c>
      <c r="E442" s="13">
        <v>1</v>
      </c>
      <c r="F442" s="13">
        <v>2</v>
      </c>
      <c r="G442" s="13">
        <v>0</v>
      </c>
      <c r="H442" s="13">
        <v>-1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-1</v>
      </c>
    </row>
    <row r="443" spans="1:45" ht="23" customHeight="1">
      <c r="A443" s="13" t="s">
        <v>986</v>
      </c>
      <c r="B443" s="13" t="s">
        <v>987</v>
      </c>
      <c r="C443" s="13"/>
      <c r="D443" s="13">
        <v>1</v>
      </c>
      <c r="E443" s="13">
        <v>1</v>
      </c>
      <c r="F443" s="13">
        <v>1</v>
      </c>
      <c r="G443" s="13">
        <v>0</v>
      </c>
      <c r="H443" s="13">
        <v>0</v>
      </c>
      <c r="I443" s="13">
        <v>0</v>
      </c>
      <c r="J443" s="13">
        <v>1</v>
      </c>
      <c r="K443" s="13">
        <v>1</v>
      </c>
      <c r="L443" s="13">
        <v>0</v>
      </c>
      <c r="M443" s="13">
        <v>0</v>
      </c>
      <c r="N443" s="13">
        <v>-1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</row>
    <row r="444" spans="1:45" ht="20" customHeight="1">
      <c r="A444" s="13" t="s">
        <v>989</v>
      </c>
      <c r="B444" s="13" t="s">
        <v>990</v>
      </c>
      <c r="C444" s="13"/>
      <c r="D444" s="13">
        <v>1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1</v>
      </c>
      <c r="K444" s="13">
        <v>2</v>
      </c>
      <c r="L444" s="13">
        <v>0</v>
      </c>
      <c r="M444" s="13">
        <v>-1</v>
      </c>
      <c r="N444" s="13">
        <v>-1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-1</v>
      </c>
    </row>
    <row r="445" spans="1:45" ht="23" customHeight="1">
      <c r="A445" s="13" t="s">
        <v>991</v>
      </c>
      <c r="B445" s="13" t="s">
        <v>992</v>
      </c>
      <c r="C445" s="13"/>
      <c r="D445" s="13">
        <v>2</v>
      </c>
      <c r="E445" s="13">
        <v>1</v>
      </c>
      <c r="F445" s="13">
        <v>0</v>
      </c>
      <c r="G445" s="13">
        <v>0</v>
      </c>
      <c r="H445" s="14">
        <v>1</v>
      </c>
      <c r="I445" s="13">
        <v>0</v>
      </c>
      <c r="J445" s="13">
        <v>1</v>
      </c>
      <c r="K445" s="13">
        <v>0</v>
      </c>
      <c r="L445" s="13">
        <v>0</v>
      </c>
      <c r="M445" s="14">
        <v>1</v>
      </c>
      <c r="N445" s="13">
        <v>-2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4">
        <v>2</v>
      </c>
    </row>
    <row r="446" spans="1:45" ht="23" customHeight="1">
      <c r="A446" s="13" t="s">
        <v>993</v>
      </c>
      <c r="B446" s="13" t="s">
        <v>994</v>
      </c>
      <c r="C446" s="13"/>
      <c r="D446" s="13">
        <v>1</v>
      </c>
      <c r="E446" s="13">
        <v>1</v>
      </c>
      <c r="F446" s="13">
        <v>1</v>
      </c>
      <c r="G446" s="13">
        <v>0</v>
      </c>
      <c r="H446" s="13">
        <v>0</v>
      </c>
      <c r="I446" s="13">
        <v>0</v>
      </c>
      <c r="J446" s="13">
        <v>1</v>
      </c>
      <c r="K446" s="13">
        <v>1</v>
      </c>
      <c r="L446" s="13">
        <v>0</v>
      </c>
      <c r="M446" s="13">
        <v>0</v>
      </c>
      <c r="N446" s="13">
        <v>-1</v>
      </c>
      <c r="O446" s="13">
        <v>0</v>
      </c>
      <c r="P446" s="13">
        <v>1</v>
      </c>
      <c r="Q446" s="13">
        <v>0</v>
      </c>
      <c r="R446" s="13">
        <v>-1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-1</v>
      </c>
    </row>
    <row r="447" spans="1:45" ht="20" customHeight="1">
      <c r="A447" s="13" t="s">
        <v>995</v>
      </c>
      <c r="B447" s="13" t="s">
        <v>990</v>
      </c>
      <c r="C447" s="13"/>
      <c r="D447" s="13">
        <v>0</v>
      </c>
      <c r="E447" s="13">
        <v>0</v>
      </c>
      <c r="F447" s="13">
        <v>3</v>
      </c>
      <c r="G447" s="13">
        <v>0</v>
      </c>
      <c r="H447" s="13">
        <v>-3</v>
      </c>
      <c r="I447" s="13">
        <v>0</v>
      </c>
      <c r="J447" s="13">
        <v>1</v>
      </c>
      <c r="K447" s="13">
        <v>2</v>
      </c>
      <c r="L447" s="13">
        <v>0</v>
      </c>
      <c r="M447" s="13">
        <v>-1</v>
      </c>
      <c r="N447" s="13">
        <v>-1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-4</v>
      </c>
    </row>
    <row r="448" spans="1:45" ht="20" customHeight="1">
      <c r="A448" s="13" t="s">
        <v>996</v>
      </c>
      <c r="B448" s="13" t="s">
        <v>990</v>
      </c>
      <c r="C448" s="13"/>
      <c r="D448" s="13">
        <v>1</v>
      </c>
      <c r="E448" s="13">
        <v>0</v>
      </c>
      <c r="F448" s="13">
        <v>2</v>
      </c>
      <c r="G448" s="13">
        <v>0</v>
      </c>
      <c r="H448" s="13">
        <v>-2</v>
      </c>
      <c r="I448" s="13">
        <v>0</v>
      </c>
      <c r="J448" s="13">
        <v>1</v>
      </c>
      <c r="K448" s="13">
        <v>2</v>
      </c>
      <c r="L448" s="13">
        <v>0</v>
      </c>
      <c r="M448" s="13">
        <v>-1</v>
      </c>
      <c r="N448" s="13">
        <v>-1</v>
      </c>
      <c r="O448" s="13">
        <v>0</v>
      </c>
      <c r="P448" s="13">
        <v>1</v>
      </c>
      <c r="Q448" s="13">
        <v>0</v>
      </c>
      <c r="R448" s="13">
        <v>-1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-4</v>
      </c>
    </row>
    <row r="449" spans="1:45" ht="20" customHeight="1">
      <c r="A449" s="13" t="s">
        <v>997</v>
      </c>
      <c r="B449" s="13" t="s">
        <v>998</v>
      </c>
      <c r="C449" s="13" t="s">
        <v>2149</v>
      </c>
      <c r="D449" s="13">
        <v>0</v>
      </c>
      <c r="E449" s="13">
        <v>14</v>
      </c>
      <c r="F449" s="13">
        <v>14</v>
      </c>
      <c r="G449" s="13">
        <v>0</v>
      </c>
      <c r="H449" s="13">
        <v>0</v>
      </c>
      <c r="I449" s="13">
        <v>-59</v>
      </c>
      <c r="J449" s="13">
        <v>14</v>
      </c>
      <c r="K449" s="13">
        <v>14</v>
      </c>
      <c r="L449" s="13">
        <v>0</v>
      </c>
      <c r="M449" s="13">
        <v>0</v>
      </c>
      <c r="N449" s="13">
        <v>-44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1</v>
      </c>
      <c r="U449" s="13">
        <v>1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1</v>
      </c>
      <c r="AO449" s="13">
        <v>1</v>
      </c>
      <c r="AP449" s="13">
        <v>0</v>
      </c>
      <c r="AQ449" s="13">
        <v>0</v>
      </c>
      <c r="AR449" s="13">
        <v>0</v>
      </c>
      <c r="AS449" s="13">
        <v>0</v>
      </c>
    </row>
    <row r="450" spans="1:45" ht="23" customHeight="1">
      <c r="A450" s="13" t="s">
        <v>1000</v>
      </c>
      <c r="B450" s="13" t="s">
        <v>1001</v>
      </c>
      <c r="C450" s="13"/>
      <c r="D450" s="13">
        <v>0</v>
      </c>
      <c r="E450" s="13">
        <v>1</v>
      </c>
      <c r="F450" s="13">
        <v>2</v>
      </c>
      <c r="G450" s="13">
        <v>0</v>
      </c>
      <c r="H450" s="13">
        <v>-1</v>
      </c>
      <c r="I450" s="13">
        <v>-1</v>
      </c>
      <c r="J450" s="13">
        <v>1</v>
      </c>
      <c r="K450" s="13">
        <v>1</v>
      </c>
      <c r="L450" s="13">
        <v>0</v>
      </c>
      <c r="M450" s="13">
        <v>0</v>
      </c>
      <c r="N450" s="13">
        <v>-1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-1</v>
      </c>
    </row>
    <row r="451" spans="1:45" ht="23" customHeight="1">
      <c r="A451" s="13" t="s">
        <v>1002</v>
      </c>
      <c r="B451" s="13" t="s">
        <v>969</v>
      </c>
      <c r="C451" s="13" t="s">
        <v>2150</v>
      </c>
      <c r="D451" s="13">
        <v>0</v>
      </c>
      <c r="E451" s="13">
        <v>1</v>
      </c>
      <c r="F451" s="13">
        <v>3</v>
      </c>
      <c r="G451" s="13">
        <v>0</v>
      </c>
      <c r="H451" s="13">
        <v>-2</v>
      </c>
      <c r="I451" s="13">
        <v>0</v>
      </c>
      <c r="J451" s="13">
        <v>0</v>
      </c>
      <c r="K451" s="13">
        <v>1</v>
      </c>
      <c r="L451" s="13">
        <v>0</v>
      </c>
      <c r="M451" s="13">
        <v>-1</v>
      </c>
      <c r="N451" s="13">
        <v>-1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-1</v>
      </c>
      <c r="AS451" s="13">
        <v>-3</v>
      </c>
    </row>
    <row r="452" spans="1:45" ht="34" customHeight="1">
      <c r="A452" s="13" t="s">
        <v>1003</v>
      </c>
      <c r="B452" s="13" t="s">
        <v>1004</v>
      </c>
      <c r="C452" s="13"/>
      <c r="D452" s="13">
        <v>0</v>
      </c>
      <c r="E452" s="13">
        <v>1</v>
      </c>
      <c r="F452" s="13">
        <v>7</v>
      </c>
      <c r="G452" s="13">
        <v>0</v>
      </c>
      <c r="H452" s="13">
        <v>-6</v>
      </c>
      <c r="I452" s="13">
        <v>-3</v>
      </c>
      <c r="J452" s="13">
        <v>1</v>
      </c>
      <c r="K452" s="13">
        <v>2</v>
      </c>
      <c r="L452" s="13">
        <v>0</v>
      </c>
      <c r="M452" s="13">
        <v>-1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1</v>
      </c>
      <c r="AP452" s="13">
        <v>0</v>
      </c>
      <c r="AQ452" s="13">
        <v>-1</v>
      </c>
      <c r="AR452" s="13">
        <v>0</v>
      </c>
      <c r="AS452" s="13">
        <v>-4</v>
      </c>
    </row>
    <row r="453" spans="1:45" ht="23" customHeight="1">
      <c r="A453" s="13" t="s">
        <v>1005</v>
      </c>
      <c r="B453" s="13" t="s">
        <v>1006</v>
      </c>
      <c r="C453" s="13" t="s">
        <v>2151</v>
      </c>
      <c r="D453" s="13">
        <v>0</v>
      </c>
      <c r="E453" s="13">
        <v>1</v>
      </c>
      <c r="F453" s="13">
        <v>2</v>
      </c>
      <c r="G453" s="13">
        <v>0</v>
      </c>
      <c r="H453" s="13">
        <v>-1</v>
      </c>
      <c r="I453" s="13">
        <v>0</v>
      </c>
      <c r="J453" s="13">
        <v>1</v>
      </c>
      <c r="K453" s="13">
        <v>2</v>
      </c>
      <c r="L453" s="13">
        <v>0</v>
      </c>
      <c r="M453" s="13">
        <v>-1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-2</v>
      </c>
    </row>
    <row r="454" spans="1:45" ht="23" customHeight="1">
      <c r="A454" s="13" t="s">
        <v>1007</v>
      </c>
      <c r="B454" s="13" t="s">
        <v>1008</v>
      </c>
      <c r="C454" s="13"/>
      <c r="D454" s="13">
        <v>0</v>
      </c>
      <c r="E454" s="13">
        <v>1</v>
      </c>
      <c r="F454" s="13">
        <v>2</v>
      </c>
      <c r="G454" s="13">
        <v>0</v>
      </c>
      <c r="H454" s="13">
        <v>-1</v>
      </c>
      <c r="I454" s="13">
        <v>-5</v>
      </c>
      <c r="J454" s="13">
        <v>1</v>
      </c>
      <c r="K454" s="13">
        <v>1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</row>
    <row r="455" spans="1:45" ht="34" customHeight="1">
      <c r="A455" s="13" t="s">
        <v>1009</v>
      </c>
      <c r="B455" s="13" t="s">
        <v>1010</v>
      </c>
      <c r="C455" s="13" t="s">
        <v>2152</v>
      </c>
      <c r="D455" s="13">
        <v>0</v>
      </c>
      <c r="E455" s="13">
        <v>3</v>
      </c>
      <c r="F455" s="13">
        <v>2</v>
      </c>
      <c r="G455" s="13">
        <v>0</v>
      </c>
      <c r="H455" s="14">
        <v>1</v>
      </c>
      <c r="I455" s="13">
        <v>-8</v>
      </c>
      <c r="J455" s="13">
        <v>2</v>
      </c>
      <c r="K455" s="13">
        <v>0</v>
      </c>
      <c r="L455" s="13">
        <v>0</v>
      </c>
      <c r="M455" s="14">
        <v>2</v>
      </c>
      <c r="N455" s="13">
        <v>-7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4">
        <v>3</v>
      </c>
    </row>
    <row r="456" spans="1:45" ht="34" customHeight="1">
      <c r="A456" s="13" t="s">
        <v>1011</v>
      </c>
      <c r="B456" s="13" t="s">
        <v>1012</v>
      </c>
      <c r="C456" s="13" t="s">
        <v>2153</v>
      </c>
      <c r="D456" s="13">
        <v>0</v>
      </c>
      <c r="E456" s="13">
        <v>2</v>
      </c>
      <c r="F456" s="13">
        <v>1</v>
      </c>
      <c r="G456" s="13">
        <v>0</v>
      </c>
      <c r="H456" s="14">
        <v>1</v>
      </c>
      <c r="I456" s="13">
        <v>-4</v>
      </c>
      <c r="J456" s="13">
        <v>1</v>
      </c>
      <c r="K456" s="13">
        <v>1</v>
      </c>
      <c r="L456" s="13">
        <v>0</v>
      </c>
      <c r="M456" s="13">
        <v>0</v>
      </c>
      <c r="N456" s="13">
        <v>-8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4">
        <v>1</v>
      </c>
    </row>
    <row r="457" spans="1:45" ht="34" customHeight="1">
      <c r="A457" s="13" t="s">
        <v>1013</v>
      </c>
      <c r="B457" s="13" t="s">
        <v>1012</v>
      </c>
      <c r="C457" s="13"/>
      <c r="D457" s="13">
        <v>0</v>
      </c>
      <c r="E457" s="13">
        <v>1</v>
      </c>
      <c r="F457" s="13">
        <v>4</v>
      </c>
      <c r="G457" s="13">
        <v>0</v>
      </c>
      <c r="H457" s="13">
        <v>-3</v>
      </c>
      <c r="I457" s="13">
        <v>-15</v>
      </c>
      <c r="J457" s="13">
        <v>3</v>
      </c>
      <c r="K457" s="13">
        <v>4</v>
      </c>
      <c r="L457" s="13">
        <v>0</v>
      </c>
      <c r="M457" s="13">
        <v>-1</v>
      </c>
      <c r="N457" s="13">
        <v>-7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-4</v>
      </c>
    </row>
    <row r="458" spans="1:45" ht="23" customHeight="1">
      <c r="A458" s="13" t="s">
        <v>1014</v>
      </c>
      <c r="B458" s="13" t="s">
        <v>1015</v>
      </c>
      <c r="C458" s="13" t="s">
        <v>2154</v>
      </c>
      <c r="D458" s="13">
        <v>0</v>
      </c>
      <c r="E458" s="13">
        <v>1</v>
      </c>
      <c r="F458" s="13">
        <v>2</v>
      </c>
      <c r="G458" s="13">
        <v>0</v>
      </c>
      <c r="H458" s="13">
        <v>-1</v>
      </c>
      <c r="I458" s="13">
        <v>0</v>
      </c>
      <c r="J458" s="13">
        <v>1</v>
      </c>
      <c r="K458" s="13">
        <v>1</v>
      </c>
      <c r="L458" s="13">
        <v>0</v>
      </c>
      <c r="M458" s="13">
        <v>0</v>
      </c>
      <c r="N458" s="13">
        <v>-1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</row>
    <row r="459" spans="1:45" ht="34" customHeight="1">
      <c r="A459" s="13" t="s">
        <v>1017</v>
      </c>
      <c r="B459" s="13" t="s">
        <v>1018</v>
      </c>
      <c r="C459" s="13" t="s">
        <v>2155</v>
      </c>
      <c r="D459" s="13">
        <v>0</v>
      </c>
      <c r="E459" s="13">
        <v>0</v>
      </c>
      <c r="F459" s="13">
        <v>1</v>
      </c>
      <c r="G459" s="13">
        <v>0</v>
      </c>
      <c r="H459" s="13">
        <v>-1</v>
      </c>
      <c r="I459" s="13">
        <v>-1</v>
      </c>
      <c r="J459" s="13">
        <v>1</v>
      </c>
      <c r="K459" s="13">
        <v>1</v>
      </c>
      <c r="L459" s="13">
        <v>0</v>
      </c>
      <c r="M459" s="13">
        <v>0</v>
      </c>
      <c r="N459" s="13">
        <v>-1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-1</v>
      </c>
    </row>
    <row r="460" spans="1:45" ht="20" customHeight="1">
      <c r="A460" s="13" t="s">
        <v>1019</v>
      </c>
      <c r="B460" s="13" t="s">
        <v>634</v>
      </c>
      <c r="C460" s="13"/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1</v>
      </c>
      <c r="K460" s="13">
        <v>1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</row>
    <row r="461" spans="1:45" ht="20" customHeight="1">
      <c r="A461" s="13" t="s">
        <v>1020</v>
      </c>
      <c r="B461" s="13" t="s">
        <v>1021</v>
      </c>
      <c r="C461" s="13"/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1</v>
      </c>
      <c r="K461" s="13">
        <v>1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</row>
    <row r="462" spans="1:45" ht="23" customHeight="1">
      <c r="A462" s="13" t="s">
        <v>1022</v>
      </c>
      <c r="B462" s="13" t="s">
        <v>1023</v>
      </c>
      <c r="C462" s="13" t="s">
        <v>2156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10</v>
      </c>
      <c r="K462" s="13">
        <v>10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</row>
    <row r="463" spans="1:45" ht="20" customHeight="1">
      <c r="A463" s="13" t="s">
        <v>1024</v>
      </c>
      <c r="B463" s="13" t="s">
        <v>1025</v>
      </c>
      <c r="C463" s="13"/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1</v>
      </c>
      <c r="K463" s="13">
        <v>1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</row>
    <row r="464" spans="1:45" ht="20" customHeight="1">
      <c r="A464" s="13" t="s">
        <v>1026</v>
      </c>
      <c r="B464" s="13" t="s">
        <v>1025</v>
      </c>
      <c r="C464" s="13"/>
      <c r="D464" s="13">
        <v>1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1</v>
      </c>
      <c r="K464" s="13">
        <v>0</v>
      </c>
      <c r="L464" s="13">
        <v>0</v>
      </c>
      <c r="M464" s="14">
        <v>1</v>
      </c>
      <c r="N464" s="13">
        <v>-1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4">
        <v>1</v>
      </c>
    </row>
    <row r="465" spans="1:45" ht="23" customHeight="1">
      <c r="A465" s="13" t="s">
        <v>1027</v>
      </c>
      <c r="B465" s="13" t="s">
        <v>1028</v>
      </c>
      <c r="C465" s="13"/>
      <c r="D465" s="13">
        <v>0</v>
      </c>
      <c r="E465" s="13">
        <v>1</v>
      </c>
      <c r="F465" s="13">
        <v>5</v>
      </c>
      <c r="G465" s="13">
        <v>0</v>
      </c>
      <c r="H465" s="13">
        <v>-4</v>
      </c>
      <c r="I465" s="13">
        <v>-1</v>
      </c>
      <c r="J465" s="13">
        <v>1</v>
      </c>
      <c r="K465" s="13">
        <v>3</v>
      </c>
      <c r="L465" s="13">
        <v>0</v>
      </c>
      <c r="M465" s="13">
        <v>-2</v>
      </c>
      <c r="N465" s="13">
        <v>-1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-1</v>
      </c>
    </row>
    <row r="466" spans="1:45" ht="34" customHeight="1">
      <c r="A466" s="13" t="s">
        <v>1029</v>
      </c>
      <c r="B466" s="13" t="s">
        <v>1030</v>
      </c>
      <c r="C466" s="13"/>
      <c r="D466" s="13">
        <v>0</v>
      </c>
      <c r="E466" s="13">
        <v>0</v>
      </c>
      <c r="F466" s="13">
        <v>2</v>
      </c>
      <c r="G466" s="13">
        <v>0</v>
      </c>
      <c r="H466" s="13">
        <v>-2</v>
      </c>
      <c r="I466" s="13">
        <v>0</v>
      </c>
      <c r="J466" s="13">
        <v>1</v>
      </c>
      <c r="K466" s="13">
        <v>2</v>
      </c>
      <c r="L466" s="13">
        <v>0</v>
      </c>
      <c r="M466" s="13">
        <v>-1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-2</v>
      </c>
    </row>
    <row r="467" spans="1:45" ht="34" customHeight="1">
      <c r="A467" s="13" t="s">
        <v>1031</v>
      </c>
      <c r="B467" s="13" t="s">
        <v>1032</v>
      </c>
      <c r="C467" s="13"/>
      <c r="D467" s="13">
        <v>0</v>
      </c>
      <c r="E467" s="13">
        <v>0</v>
      </c>
      <c r="F467" s="13">
        <v>5</v>
      </c>
      <c r="G467" s="13">
        <v>0</v>
      </c>
      <c r="H467" s="13">
        <v>-5</v>
      </c>
      <c r="I467" s="13">
        <v>-1</v>
      </c>
      <c r="J467" s="13">
        <v>1</v>
      </c>
      <c r="K467" s="13">
        <v>1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-1</v>
      </c>
    </row>
    <row r="468" spans="1:45" ht="23" customHeight="1">
      <c r="A468" s="13" t="s">
        <v>1033</v>
      </c>
      <c r="B468" s="13" t="s">
        <v>691</v>
      </c>
      <c r="C468" s="13"/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1</v>
      </c>
      <c r="K468" s="13">
        <v>1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</row>
    <row r="469" spans="1:45" ht="23" customHeight="1">
      <c r="A469" s="13" t="s">
        <v>1034</v>
      </c>
      <c r="B469" s="13" t="s">
        <v>1035</v>
      </c>
      <c r="C469" s="13" t="s">
        <v>2157</v>
      </c>
      <c r="D469" s="13">
        <v>0</v>
      </c>
      <c r="E469" s="13">
        <v>0</v>
      </c>
      <c r="F469" s="13">
        <v>4</v>
      </c>
      <c r="G469" s="13">
        <v>0</v>
      </c>
      <c r="H469" s="13">
        <v>-4</v>
      </c>
      <c r="I469" s="13">
        <v>0</v>
      </c>
      <c r="J469" s="13">
        <v>1</v>
      </c>
      <c r="K469" s="13">
        <v>2</v>
      </c>
      <c r="L469" s="13">
        <v>0</v>
      </c>
      <c r="M469" s="13">
        <v>-1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-2</v>
      </c>
    </row>
    <row r="470" spans="1:45" ht="34" customHeight="1">
      <c r="A470" s="13" t="s">
        <v>1036</v>
      </c>
      <c r="B470" s="13" t="s">
        <v>1012</v>
      </c>
      <c r="C470" s="13"/>
      <c r="D470" s="13">
        <v>0</v>
      </c>
      <c r="E470" s="13">
        <v>0</v>
      </c>
      <c r="F470" s="13">
        <v>1</v>
      </c>
      <c r="G470" s="13">
        <v>0</v>
      </c>
      <c r="H470" s="13">
        <v>-1</v>
      </c>
      <c r="I470" s="13">
        <v>-1</v>
      </c>
      <c r="J470" s="13">
        <v>1</v>
      </c>
      <c r="K470" s="13">
        <v>2</v>
      </c>
      <c r="L470" s="13">
        <v>0</v>
      </c>
      <c r="M470" s="13">
        <v>-1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-1</v>
      </c>
    </row>
    <row r="471" spans="1:45" ht="23" customHeight="1">
      <c r="A471" s="13" t="s">
        <v>1037</v>
      </c>
      <c r="B471" s="13" t="s">
        <v>1008</v>
      </c>
      <c r="C471" s="13"/>
      <c r="D471" s="13">
        <v>0</v>
      </c>
      <c r="E471" s="13">
        <v>1</v>
      </c>
      <c r="F471" s="13">
        <v>2</v>
      </c>
      <c r="G471" s="13">
        <v>0</v>
      </c>
      <c r="H471" s="13">
        <v>-1</v>
      </c>
      <c r="I471" s="13">
        <v>0</v>
      </c>
      <c r="J471" s="13">
        <v>0</v>
      </c>
      <c r="K471" s="13">
        <v>2</v>
      </c>
      <c r="L471" s="13">
        <v>0</v>
      </c>
      <c r="M471" s="13">
        <v>-2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-2</v>
      </c>
    </row>
    <row r="472" spans="1:45" ht="23" customHeight="1">
      <c r="A472" s="13" t="s">
        <v>1038</v>
      </c>
      <c r="B472" s="13" t="s">
        <v>1039</v>
      </c>
      <c r="C472" s="13"/>
      <c r="D472" s="13">
        <v>0</v>
      </c>
      <c r="E472" s="13">
        <v>1</v>
      </c>
      <c r="F472" s="13">
        <v>14</v>
      </c>
      <c r="G472" s="13">
        <v>0</v>
      </c>
      <c r="H472" s="13">
        <v>-13</v>
      </c>
      <c r="I472" s="13">
        <v>0</v>
      </c>
      <c r="J472" s="13">
        <v>1</v>
      </c>
      <c r="K472" s="13">
        <v>1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-2</v>
      </c>
    </row>
    <row r="473" spans="1:45" ht="23" customHeight="1">
      <c r="A473" s="13" t="s">
        <v>1040</v>
      </c>
      <c r="B473" s="13" t="s">
        <v>439</v>
      </c>
      <c r="C473" s="13"/>
      <c r="D473" s="13">
        <v>0</v>
      </c>
      <c r="E473" s="13">
        <v>1</v>
      </c>
      <c r="F473" s="13">
        <v>3</v>
      </c>
      <c r="G473" s="13">
        <v>0</v>
      </c>
      <c r="H473" s="13">
        <v>-2</v>
      </c>
      <c r="I473" s="13">
        <v>0</v>
      </c>
      <c r="J473" s="13">
        <v>1</v>
      </c>
      <c r="K473" s="13">
        <v>1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-2</v>
      </c>
    </row>
    <row r="474" spans="1:45" ht="23" customHeight="1">
      <c r="A474" s="13" t="s">
        <v>1041</v>
      </c>
      <c r="B474" s="13" t="s">
        <v>1042</v>
      </c>
      <c r="C474" s="13" t="s">
        <v>2158</v>
      </c>
      <c r="D474" s="13">
        <v>0</v>
      </c>
      <c r="E474" s="13">
        <v>0</v>
      </c>
      <c r="F474" s="13">
        <v>2</v>
      </c>
      <c r="G474" s="13">
        <v>0</v>
      </c>
      <c r="H474" s="13">
        <v>-2</v>
      </c>
      <c r="I474" s="13">
        <v>0</v>
      </c>
      <c r="J474" s="13">
        <v>1</v>
      </c>
      <c r="K474" s="13">
        <v>4</v>
      </c>
      <c r="L474" s="13">
        <v>0</v>
      </c>
      <c r="M474" s="13">
        <v>-3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-2</v>
      </c>
    </row>
    <row r="475" spans="1:45" ht="23" customHeight="1">
      <c r="A475" s="13" t="s">
        <v>1043</v>
      </c>
      <c r="B475" s="13" t="s">
        <v>1044</v>
      </c>
      <c r="C475" s="13"/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1</v>
      </c>
      <c r="K475" s="13">
        <v>1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</row>
    <row r="476" spans="1:45" ht="23" customHeight="1">
      <c r="A476" s="13" t="s">
        <v>1046</v>
      </c>
      <c r="B476" s="13" t="s">
        <v>1047</v>
      </c>
      <c r="C476" s="13"/>
      <c r="D476" s="13">
        <v>0</v>
      </c>
      <c r="E476" s="13">
        <v>1</v>
      </c>
      <c r="F476" s="13">
        <v>1</v>
      </c>
      <c r="G476" s="13">
        <v>0</v>
      </c>
      <c r="H476" s="13">
        <v>0</v>
      </c>
      <c r="I476" s="13">
        <v>0</v>
      </c>
      <c r="J476" s="13">
        <v>1</v>
      </c>
      <c r="K476" s="13">
        <v>1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</row>
    <row r="477" spans="1:45" ht="34" customHeight="1">
      <c r="A477" s="13" t="s">
        <v>1048</v>
      </c>
      <c r="B477" s="13" t="s">
        <v>868</v>
      </c>
      <c r="C477" s="13" t="s">
        <v>2159</v>
      </c>
      <c r="D477" s="13">
        <v>0</v>
      </c>
      <c r="E477" s="13">
        <v>0</v>
      </c>
      <c r="F477" s="13">
        <v>3</v>
      </c>
      <c r="G477" s="13">
        <v>0</v>
      </c>
      <c r="H477" s="13">
        <v>-3</v>
      </c>
      <c r="I477" s="13">
        <v>-2</v>
      </c>
      <c r="J477" s="13">
        <v>1</v>
      </c>
      <c r="K477" s="13">
        <v>1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-3</v>
      </c>
    </row>
    <row r="478" spans="1:45" ht="23" customHeight="1">
      <c r="A478" s="13" t="s">
        <v>1049</v>
      </c>
      <c r="B478" s="13" t="s">
        <v>1050</v>
      </c>
      <c r="C478" s="13" t="s">
        <v>2160</v>
      </c>
      <c r="D478" s="13">
        <v>0</v>
      </c>
      <c r="E478" s="13">
        <v>0</v>
      </c>
      <c r="F478" s="13">
        <v>5</v>
      </c>
      <c r="G478" s="13">
        <v>0</v>
      </c>
      <c r="H478" s="13">
        <v>-5</v>
      </c>
      <c r="I478" s="13">
        <v>-1</v>
      </c>
      <c r="J478" s="13">
        <v>1</v>
      </c>
      <c r="K478" s="13">
        <v>2</v>
      </c>
      <c r="L478" s="13">
        <v>0</v>
      </c>
      <c r="M478" s="13">
        <v>-1</v>
      </c>
      <c r="N478" s="13">
        <v>-2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-5</v>
      </c>
    </row>
    <row r="479" spans="1:45" ht="23" customHeight="1">
      <c r="A479" s="13" t="s">
        <v>1051</v>
      </c>
      <c r="B479" s="13" t="s">
        <v>1052</v>
      </c>
      <c r="C479" s="13" t="s">
        <v>2161</v>
      </c>
      <c r="D479" s="13">
        <v>0</v>
      </c>
      <c r="E479" s="13">
        <v>2</v>
      </c>
      <c r="F479" s="13">
        <v>1</v>
      </c>
      <c r="G479" s="13">
        <v>0</v>
      </c>
      <c r="H479" s="14">
        <v>1</v>
      </c>
      <c r="I479" s="13">
        <v>-10</v>
      </c>
      <c r="J479" s="13">
        <v>2</v>
      </c>
      <c r="K479" s="13">
        <v>2</v>
      </c>
      <c r="L479" s="13">
        <v>0</v>
      </c>
      <c r="M479" s="13">
        <v>0</v>
      </c>
      <c r="N479" s="13">
        <v>-8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4">
        <v>1</v>
      </c>
    </row>
    <row r="480" spans="1:45" ht="34" customHeight="1">
      <c r="A480" s="13" t="s">
        <v>1053</v>
      </c>
      <c r="B480" s="13" t="s">
        <v>1054</v>
      </c>
      <c r="C480" s="13"/>
      <c r="D480" s="13">
        <v>0</v>
      </c>
      <c r="E480" s="13">
        <v>1</v>
      </c>
      <c r="F480" s="13">
        <v>7</v>
      </c>
      <c r="G480" s="13">
        <v>0</v>
      </c>
      <c r="H480" s="13">
        <v>-6</v>
      </c>
      <c r="I480" s="13">
        <v>0</v>
      </c>
      <c r="J480" s="13">
        <v>1</v>
      </c>
      <c r="K480" s="13">
        <v>2</v>
      </c>
      <c r="L480" s="13">
        <v>0</v>
      </c>
      <c r="M480" s="13">
        <v>-1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-7</v>
      </c>
    </row>
    <row r="481" spans="1:45" ht="34" customHeight="1">
      <c r="A481" s="13" t="s">
        <v>1055</v>
      </c>
      <c r="B481" s="13" t="s">
        <v>1056</v>
      </c>
      <c r="C481" s="13"/>
      <c r="D481" s="13">
        <v>0</v>
      </c>
      <c r="E481" s="13">
        <v>1</v>
      </c>
      <c r="F481" s="13">
        <v>4</v>
      </c>
      <c r="G481" s="13">
        <v>0</v>
      </c>
      <c r="H481" s="13">
        <v>-3</v>
      </c>
      <c r="I481" s="13">
        <v>-3</v>
      </c>
      <c r="J481" s="13">
        <v>1</v>
      </c>
      <c r="K481" s="13">
        <v>1</v>
      </c>
      <c r="L481" s="13">
        <v>0</v>
      </c>
      <c r="M481" s="13">
        <v>0</v>
      </c>
      <c r="N481" s="13">
        <v>-1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-3</v>
      </c>
    </row>
    <row r="482" spans="1:45" ht="23" customHeight="1">
      <c r="A482" s="13" t="s">
        <v>1057</v>
      </c>
      <c r="B482" s="13" t="s">
        <v>491</v>
      </c>
      <c r="C482" s="13"/>
      <c r="D482" s="13">
        <v>0</v>
      </c>
      <c r="E482" s="13">
        <v>1</v>
      </c>
      <c r="F482" s="13">
        <v>7</v>
      </c>
      <c r="G482" s="13">
        <v>0</v>
      </c>
      <c r="H482" s="13">
        <v>-6</v>
      </c>
      <c r="I482" s="13">
        <v>0</v>
      </c>
      <c r="J482" s="13">
        <v>1</v>
      </c>
      <c r="K482" s="13">
        <v>2</v>
      </c>
      <c r="L482" s="13">
        <v>0</v>
      </c>
      <c r="M482" s="13">
        <v>-1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-1</v>
      </c>
    </row>
    <row r="483" spans="1:45" ht="23" customHeight="1">
      <c r="A483" s="13" t="s">
        <v>1058</v>
      </c>
      <c r="B483" s="13" t="s">
        <v>493</v>
      </c>
      <c r="C483" s="13"/>
      <c r="D483" s="13">
        <v>0</v>
      </c>
      <c r="E483" s="13">
        <v>1</v>
      </c>
      <c r="F483" s="13">
        <v>12</v>
      </c>
      <c r="G483" s="13">
        <v>0</v>
      </c>
      <c r="H483" s="13">
        <v>-11</v>
      </c>
      <c r="I483" s="13">
        <v>0</v>
      </c>
      <c r="J483" s="13">
        <v>1</v>
      </c>
      <c r="K483" s="13">
        <v>2</v>
      </c>
      <c r="L483" s="13">
        <v>0</v>
      </c>
      <c r="M483" s="13">
        <v>-1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-2</v>
      </c>
    </row>
    <row r="484" spans="1:45" ht="34" customHeight="1">
      <c r="A484" s="13" t="s">
        <v>1059</v>
      </c>
      <c r="B484" s="13" t="s">
        <v>1060</v>
      </c>
      <c r="C484" s="13" t="s">
        <v>2162</v>
      </c>
      <c r="D484" s="13">
        <v>1</v>
      </c>
      <c r="E484" s="13">
        <v>1</v>
      </c>
      <c r="F484" s="13">
        <v>0</v>
      </c>
      <c r="G484" s="13">
        <v>0</v>
      </c>
      <c r="H484" s="14">
        <v>1</v>
      </c>
      <c r="I484" s="13">
        <v>-2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4">
        <v>1</v>
      </c>
    </row>
    <row r="485" spans="1:45" ht="34" customHeight="1">
      <c r="A485" s="13" t="s">
        <v>1061</v>
      </c>
      <c r="B485" s="13" t="s">
        <v>1062</v>
      </c>
      <c r="C485" s="13" t="s">
        <v>2163</v>
      </c>
      <c r="D485" s="13">
        <v>0</v>
      </c>
      <c r="E485" s="13">
        <v>1</v>
      </c>
      <c r="F485" s="13">
        <v>3</v>
      </c>
      <c r="G485" s="13">
        <v>0</v>
      </c>
      <c r="H485" s="13">
        <v>-2</v>
      </c>
      <c r="I485" s="13">
        <v>0</v>
      </c>
      <c r="J485" s="13">
        <v>1</v>
      </c>
      <c r="K485" s="13">
        <v>1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-2</v>
      </c>
    </row>
    <row r="486" spans="1:45" ht="34" customHeight="1">
      <c r="A486" s="13" t="s">
        <v>1063</v>
      </c>
      <c r="B486" s="13" t="s">
        <v>1030</v>
      </c>
      <c r="C486" s="13" t="s">
        <v>2164</v>
      </c>
      <c r="D486" s="13">
        <v>0</v>
      </c>
      <c r="E486" s="13">
        <v>1</v>
      </c>
      <c r="F486" s="13">
        <v>2</v>
      </c>
      <c r="G486" s="13">
        <v>0</v>
      </c>
      <c r="H486" s="13">
        <v>-1</v>
      </c>
      <c r="I486" s="13">
        <v>-1</v>
      </c>
      <c r="J486" s="13">
        <v>1</v>
      </c>
      <c r="K486" s="13">
        <v>2</v>
      </c>
      <c r="L486" s="13">
        <v>0</v>
      </c>
      <c r="M486" s="13">
        <v>-1</v>
      </c>
      <c r="N486" s="13">
        <v>-1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-1</v>
      </c>
    </row>
    <row r="487" spans="1:45" ht="23" customHeight="1">
      <c r="A487" s="13" t="s">
        <v>1064</v>
      </c>
      <c r="B487" s="13" t="s">
        <v>1065</v>
      </c>
      <c r="C487" s="13"/>
      <c r="D487" s="13">
        <v>0</v>
      </c>
      <c r="E487" s="13">
        <v>0</v>
      </c>
      <c r="F487" s="13">
        <v>1</v>
      </c>
      <c r="G487" s="13">
        <v>0</v>
      </c>
      <c r="H487" s="13">
        <v>-1</v>
      </c>
      <c r="I487" s="13">
        <v>0</v>
      </c>
      <c r="J487" s="13">
        <v>1</v>
      </c>
      <c r="K487" s="13">
        <v>1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-1</v>
      </c>
    </row>
    <row r="488" spans="1:45" ht="23" customHeight="1">
      <c r="A488" s="13" t="s">
        <v>1067</v>
      </c>
      <c r="B488" s="13" t="s">
        <v>1068</v>
      </c>
      <c r="C488" s="13" t="s">
        <v>2165</v>
      </c>
      <c r="D488" s="13">
        <v>0</v>
      </c>
      <c r="E488" s="13">
        <v>1</v>
      </c>
      <c r="F488" s="13">
        <v>1</v>
      </c>
      <c r="G488" s="13">
        <v>0</v>
      </c>
      <c r="H488" s="13">
        <v>0</v>
      </c>
      <c r="I488" s="13">
        <v>0</v>
      </c>
      <c r="J488" s="13">
        <v>1</v>
      </c>
      <c r="K488" s="13">
        <v>1</v>
      </c>
      <c r="L488" s="13">
        <v>0</v>
      </c>
      <c r="M488" s="13">
        <v>0</v>
      </c>
      <c r="N488" s="13">
        <v>-1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</row>
    <row r="489" spans="1:45" ht="23" customHeight="1">
      <c r="A489" s="13" t="s">
        <v>1069</v>
      </c>
      <c r="B489" s="13" t="s">
        <v>1070</v>
      </c>
      <c r="C489" s="13"/>
      <c r="D489" s="13">
        <v>0</v>
      </c>
      <c r="E489" s="13">
        <v>1</v>
      </c>
      <c r="F489" s="13">
        <v>1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</row>
    <row r="490" spans="1:45" ht="23" customHeight="1">
      <c r="A490" s="13" t="s">
        <v>1071</v>
      </c>
      <c r="B490" s="13" t="s">
        <v>284</v>
      </c>
      <c r="C490" s="13" t="s">
        <v>2166</v>
      </c>
      <c r="D490" s="13">
        <v>0</v>
      </c>
      <c r="E490" s="13">
        <v>1</v>
      </c>
      <c r="F490" s="13">
        <v>4</v>
      </c>
      <c r="G490" s="13">
        <v>0</v>
      </c>
      <c r="H490" s="13">
        <v>-3</v>
      </c>
      <c r="I490" s="13">
        <v>0</v>
      </c>
      <c r="J490" s="13">
        <v>0</v>
      </c>
      <c r="K490" s="13">
        <v>1</v>
      </c>
      <c r="L490" s="13">
        <v>0</v>
      </c>
      <c r="M490" s="13">
        <v>-1</v>
      </c>
      <c r="N490" s="13">
        <v>0</v>
      </c>
      <c r="O490" s="13">
        <v>0</v>
      </c>
      <c r="P490" s="13">
        <v>1</v>
      </c>
      <c r="Q490" s="13">
        <v>0</v>
      </c>
      <c r="R490" s="13">
        <v>-1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-2</v>
      </c>
    </row>
    <row r="491" spans="1:45" ht="23" customHeight="1">
      <c r="A491" s="13" t="s">
        <v>1073</v>
      </c>
      <c r="B491" s="13" t="s">
        <v>1074</v>
      </c>
      <c r="C491" s="13"/>
      <c r="D491" s="13">
        <v>0</v>
      </c>
      <c r="E491" s="13">
        <v>1</v>
      </c>
      <c r="F491" s="13">
        <v>1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</row>
    <row r="492" spans="1:45" ht="23" customHeight="1">
      <c r="A492" s="13" t="s">
        <v>1075</v>
      </c>
      <c r="B492" s="13" t="s">
        <v>1076</v>
      </c>
      <c r="C492" s="13" t="s">
        <v>2167</v>
      </c>
      <c r="D492" s="13">
        <v>0</v>
      </c>
      <c r="E492" s="13">
        <v>1</v>
      </c>
      <c r="F492" s="13">
        <v>2</v>
      </c>
      <c r="G492" s="13">
        <v>0</v>
      </c>
      <c r="H492" s="13">
        <v>-1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</row>
    <row r="493" spans="1:45" ht="23" customHeight="1">
      <c r="A493" s="13" t="s">
        <v>1078</v>
      </c>
      <c r="B493" s="13" t="s">
        <v>1079</v>
      </c>
      <c r="C493" s="13" t="s">
        <v>2168</v>
      </c>
      <c r="D493" s="13">
        <v>2</v>
      </c>
      <c r="E493" s="13">
        <v>1</v>
      </c>
      <c r="F493" s="13">
        <v>1</v>
      </c>
      <c r="G493" s="13">
        <v>0</v>
      </c>
      <c r="H493" s="13">
        <v>0</v>
      </c>
      <c r="I493" s="13">
        <v>-1</v>
      </c>
      <c r="J493" s="13">
        <v>1</v>
      </c>
      <c r="K493" s="13">
        <v>0</v>
      </c>
      <c r="L493" s="13">
        <v>0</v>
      </c>
      <c r="M493" s="14">
        <v>1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4">
        <v>1</v>
      </c>
    </row>
    <row r="494" spans="1:45" ht="23" customHeight="1">
      <c r="A494" s="13" t="s">
        <v>1081</v>
      </c>
      <c r="B494" s="13" t="s">
        <v>1082</v>
      </c>
      <c r="C494" s="13" t="s">
        <v>2169</v>
      </c>
      <c r="D494" s="13">
        <v>0</v>
      </c>
      <c r="E494" s="13">
        <v>1</v>
      </c>
      <c r="F494" s="13">
        <v>7</v>
      </c>
      <c r="G494" s="13">
        <v>0</v>
      </c>
      <c r="H494" s="13">
        <v>-6</v>
      </c>
      <c r="I494" s="13">
        <v>-8</v>
      </c>
      <c r="J494" s="13">
        <v>3</v>
      </c>
      <c r="K494" s="13">
        <v>9</v>
      </c>
      <c r="L494" s="13">
        <v>0</v>
      </c>
      <c r="M494" s="13">
        <v>-6</v>
      </c>
      <c r="N494" s="13">
        <v>-3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-12</v>
      </c>
    </row>
    <row r="495" spans="1:45" ht="23" customHeight="1">
      <c r="A495" s="13" t="s">
        <v>1083</v>
      </c>
      <c r="B495" s="13" t="s">
        <v>1044</v>
      </c>
      <c r="C495" s="13" t="s">
        <v>2170</v>
      </c>
      <c r="D495" s="13">
        <v>0</v>
      </c>
      <c r="E495" s="13">
        <v>2</v>
      </c>
      <c r="F495" s="13">
        <v>7</v>
      </c>
      <c r="G495" s="13">
        <v>0</v>
      </c>
      <c r="H495" s="13">
        <v>-5</v>
      </c>
      <c r="I495" s="13">
        <v>-4</v>
      </c>
      <c r="J495" s="13">
        <v>1</v>
      </c>
      <c r="K495" s="13">
        <v>3</v>
      </c>
      <c r="L495" s="13">
        <v>0</v>
      </c>
      <c r="M495" s="13">
        <v>-2</v>
      </c>
      <c r="N495" s="13">
        <v>-5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-5</v>
      </c>
    </row>
    <row r="496" spans="1:45" ht="20" customHeight="1">
      <c r="A496" s="13" t="s">
        <v>1084</v>
      </c>
      <c r="B496" s="13" t="s">
        <v>1085</v>
      </c>
      <c r="C496" s="13"/>
      <c r="D496" s="13">
        <v>0</v>
      </c>
      <c r="E496" s="13">
        <v>1</v>
      </c>
      <c r="F496" s="13">
        <v>1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</row>
    <row r="497" spans="1:45" ht="20" customHeight="1">
      <c r="A497" s="13" t="s">
        <v>1086</v>
      </c>
      <c r="B497" s="13" t="s">
        <v>61</v>
      </c>
      <c r="C497" s="13"/>
      <c r="D497" s="13">
        <v>0</v>
      </c>
      <c r="E497" s="13">
        <v>1</v>
      </c>
      <c r="F497" s="13">
        <v>2</v>
      </c>
      <c r="G497" s="13">
        <v>0</v>
      </c>
      <c r="H497" s="13">
        <v>-1</v>
      </c>
      <c r="I497" s="13">
        <v>0</v>
      </c>
      <c r="J497" s="13">
        <v>1</v>
      </c>
      <c r="K497" s="13">
        <v>1</v>
      </c>
      <c r="L497" s="13">
        <v>0</v>
      </c>
      <c r="M497" s="13">
        <v>0</v>
      </c>
      <c r="N497" s="13">
        <v>-2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-1</v>
      </c>
    </row>
    <row r="498" spans="1:45" ht="23" customHeight="1">
      <c r="A498" s="13" t="s">
        <v>1088</v>
      </c>
      <c r="B498" s="13" t="s">
        <v>1089</v>
      </c>
      <c r="C498" s="13"/>
      <c r="D498" s="13">
        <v>0</v>
      </c>
      <c r="E498" s="13">
        <v>1</v>
      </c>
      <c r="F498" s="13">
        <v>3</v>
      </c>
      <c r="G498" s="13">
        <v>0</v>
      </c>
      <c r="H498" s="13">
        <v>-2</v>
      </c>
      <c r="I498" s="13">
        <v>0</v>
      </c>
      <c r="J498" s="13">
        <v>1</v>
      </c>
      <c r="K498" s="13">
        <v>2</v>
      </c>
      <c r="L498" s="13">
        <v>0</v>
      </c>
      <c r="M498" s="13">
        <v>-1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1</v>
      </c>
      <c r="AP498" s="13">
        <v>0</v>
      </c>
      <c r="AQ498" s="13">
        <v>-1</v>
      </c>
      <c r="AR498" s="13">
        <v>0</v>
      </c>
      <c r="AS498" s="13">
        <v>-3</v>
      </c>
    </row>
    <row r="499" spans="1:45" ht="69" customHeight="1">
      <c r="A499" s="13" t="s">
        <v>1090</v>
      </c>
      <c r="B499" s="13" t="s">
        <v>1091</v>
      </c>
      <c r="C499" s="13" t="s">
        <v>2171</v>
      </c>
      <c r="D499" s="13">
        <v>0</v>
      </c>
      <c r="E499" s="13">
        <v>2</v>
      </c>
      <c r="F499" s="13">
        <v>5</v>
      </c>
      <c r="G499" s="13">
        <v>0</v>
      </c>
      <c r="H499" s="13">
        <v>-3</v>
      </c>
      <c r="I499" s="13">
        <v>-19</v>
      </c>
      <c r="J499" s="13">
        <v>1</v>
      </c>
      <c r="K499" s="13">
        <v>2</v>
      </c>
      <c r="L499" s="13">
        <v>0</v>
      </c>
      <c r="M499" s="13">
        <v>-1</v>
      </c>
      <c r="N499" s="13">
        <v>-6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-4</v>
      </c>
    </row>
    <row r="500" spans="1:45" ht="58" customHeight="1">
      <c r="A500" s="13" t="s">
        <v>1092</v>
      </c>
      <c r="B500" s="13" t="s">
        <v>1093</v>
      </c>
      <c r="C500" s="13" t="s">
        <v>2172</v>
      </c>
      <c r="D500" s="13">
        <v>0</v>
      </c>
      <c r="E500" s="13">
        <v>2</v>
      </c>
      <c r="F500" s="13">
        <v>4</v>
      </c>
      <c r="G500" s="13">
        <v>0</v>
      </c>
      <c r="H500" s="13">
        <v>-2</v>
      </c>
      <c r="I500" s="13">
        <v>-18</v>
      </c>
      <c r="J500" s="13">
        <v>1</v>
      </c>
      <c r="K500" s="13">
        <v>3</v>
      </c>
      <c r="L500" s="13">
        <v>0</v>
      </c>
      <c r="M500" s="13">
        <v>-2</v>
      </c>
      <c r="N500" s="13">
        <v>-7</v>
      </c>
      <c r="O500" s="13">
        <v>0</v>
      </c>
      <c r="P500" s="13">
        <v>2</v>
      </c>
      <c r="Q500" s="13">
        <v>0</v>
      </c>
      <c r="R500" s="13">
        <v>-2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-6</v>
      </c>
    </row>
    <row r="501" spans="1:45" ht="34" customHeight="1">
      <c r="A501" s="13" t="s">
        <v>1094</v>
      </c>
      <c r="B501" s="13" t="s">
        <v>1095</v>
      </c>
      <c r="C501" s="13" t="s">
        <v>2173</v>
      </c>
      <c r="D501" s="13">
        <v>0</v>
      </c>
      <c r="E501" s="13">
        <v>2</v>
      </c>
      <c r="F501" s="13">
        <v>3</v>
      </c>
      <c r="G501" s="13">
        <v>0</v>
      </c>
      <c r="H501" s="13">
        <v>-1</v>
      </c>
      <c r="I501" s="13">
        <v>-20</v>
      </c>
      <c r="J501" s="13">
        <v>1</v>
      </c>
      <c r="K501" s="13">
        <v>1</v>
      </c>
      <c r="L501" s="13">
        <v>0</v>
      </c>
      <c r="M501" s="13">
        <v>0</v>
      </c>
      <c r="N501" s="13">
        <v>-6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-1</v>
      </c>
    </row>
    <row r="502" spans="1:45" ht="23" customHeight="1">
      <c r="A502" s="13" t="s">
        <v>1096</v>
      </c>
      <c r="B502" s="13" t="s">
        <v>1097</v>
      </c>
      <c r="C502" s="13"/>
      <c r="D502" s="13">
        <v>0</v>
      </c>
      <c r="E502" s="13">
        <v>0</v>
      </c>
      <c r="F502" s="13">
        <v>3</v>
      </c>
      <c r="G502" s="13">
        <v>0</v>
      </c>
      <c r="H502" s="13">
        <v>-3</v>
      </c>
      <c r="I502" s="13">
        <v>0</v>
      </c>
      <c r="J502" s="13">
        <v>1</v>
      </c>
      <c r="K502" s="13">
        <v>2</v>
      </c>
      <c r="L502" s="13">
        <v>0</v>
      </c>
      <c r="M502" s="13">
        <v>-1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-3</v>
      </c>
    </row>
    <row r="503" spans="1:45" ht="20" customHeight="1">
      <c r="A503" s="13" t="s">
        <v>1098</v>
      </c>
      <c r="B503" s="13" t="s">
        <v>1099</v>
      </c>
      <c r="C503" s="13"/>
      <c r="D503" s="13">
        <v>0</v>
      </c>
      <c r="E503" s="13">
        <v>1</v>
      </c>
      <c r="F503" s="13">
        <v>3</v>
      </c>
      <c r="G503" s="13">
        <v>0</v>
      </c>
      <c r="H503" s="13">
        <v>-2</v>
      </c>
      <c r="I503" s="13">
        <v>-6</v>
      </c>
      <c r="J503" s="13">
        <v>1</v>
      </c>
      <c r="K503" s="13">
        <v>2</v>
      </c>
      <c r="L503" s="13">
        <v>0</v>
      </c>
      <c r="M503" s="13">
        <v>-1</v>
      </c>
      <c r="N503" s="13">
        <v>-4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-3</v>
      </c>
    </row>
    <row r="504" spans="1:45" ht="20" customHeight="1">
      <c r="A504" s="13" t="s">
        <v>1100</v>
      </c>
      <c r="B504" s="13" t="s">
        <v>1101</v>
      </c>
      <c r="C504" s="13" t="s">
        <v>2174</v>
      </c>
      <c r="D504" s="13">
        <v>0</v>
      </c>
      <c r="E504" s="13">
        <v>1</v>
      </c>
      <c r="F504" s="13">
        <v>1</v>
      </c>
      <c r="G504" s="13">
        <v>0</v>
      </c>
      <c r="H504" s="13">
        <v>0</v>
      </c>
      <c r="I504" s="13">
        <v>-1</v>
      </c>
      <c r="J504" s="13">
        <v>0</v>
      </c>
      <c r="K504" s="13">
        <v>0</v>
      </c>
      <c r="L504" s="13">
        <v>0</v>
      </c>
      <c r="M504" s="13">
        <v>0</v>
      </c>
      <c r="N504" s="13">
        <v>-1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</row>
    <row r="505" spans="1:45" ht="23" customHeight="1">
      <c r="A505" s="13" t="s">
        <v>1102</v>
      </c>
      <c r="B505" s="13" t="s">
        <v>1103</v>
      </c>
      <c r="C505" s="13" t="s">
        <v>2175</v>
      </c>
      <c r="D505" s="13">
        <v>0</v>
      </c>
      <c r="E505" s="13">
        <v>1</v>
      </c>
      <c r="F505" s="13">
        <v>6</v>
      </c>
      <c r="G505" s="13">
        <v>0</v>
      </c>
      <c r="H505" s="13">
        <v>-5</v>
      </c>
      <c r="I505" s="13">
        <v>0</v>
      </c>
      <c r="J505" s="13">
        <v>1</v>
      </c>
      <c r="K505" s="13">
        <v>1</v>
      </c>
      <c r="L505" s="13">
        <v>0</v>
      </c>
      <c r="M505" s="13">
        <v>0</v>
      </c>
      <c r="N505" s="13">
        <v>-2</v>
      </c>
      <c r="O505" s="13">
        <v>0</v>
      </c>
      <c r="P505" s="13">
        <v>1</v>
      </c>
      <c r="Q505" s="13">
        <v>0</v>
      </c>
      <c r="R505" s="13">
        <v>-1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-2</v>
      </c>
    </row>
    <row r="506" spans="1:45" ht="23" customHeight="1">
      <c r="A506" s="13" t="s">
        <v>1104</v>
      </c>
      <c r="B506" s="13" t="s">
        <v>1070</v>
      </c>
      <c r="C506" s="13" t="s">
        <v>2176</v>
      </c>
      <c r="D506" s="13">
        <v>0</v>
      </c>
      <c r="E506" s="13">
        <v>1</v>
      </c>
      <c r="F506" s="13">
        <v>2</v>
      </c>
      <c r="G506" s="13">
        <v>0</v>
      </c>
      <c r="H506" s="13">
        <v>-1</v>
      </c>
      <c r="I506" s="13">
        <v>-3</v>
      </c>
      <c r="J506" s="13">
        <v>1</v>
      </c>
      <c r="K506" s="13">
        <v>2</v>
      </c>
      <c r="L506" s="13">
        <v>0</v>
      </c>
      <c r="M506" s="13">
        <v>-1</v>
      </c>
      <c r="N506" s="13">
        <v>-9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-2</v>
      </c>
    </row>
    <row r="507" spans="1:45" ht="23" customHeight="1">
      <c r="A507" s="13" t="s">
        <v>1106</v>
      </c>
      <c r="B507" s="13" t="s">
        <v>1107</v>
      </c>
      <c r="C507" s="13"/>
      <c r="D507" s="13">
        <v>0</v>
      </c>
      <c r="E507" s="13">
        <v>1</v>
      </c>
      <c r="F507" s="13">
        <v>3</v>
      </c>
      <c r="G507" s="13">
        <v>0</v>
      </c>
      <c r="H507" s="13">
        <v>-2</v>
      </c>
      <c r="I507" s="13">
        <v>-4</v>
      </c>
      <c r="J507" s="13">
        <v>0</v>
      </c>
      <c r="K507" s="13">
        <v>0</v>
      </c>
      <c r="L507" s="13">
        <v>0</v>
      </c>
      <c r="M507" s="13">
        <v>0</v>
      </c>
      <c r="N507" s="13">
        <v>-1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-2</v>
      </c>
    </row>
    <row r="508" spans="1:45" ht="23" customHeight="1">
      <c r="A508" s="13" t="s">
        <v>1108</v>
      </c>
      <c r="B508" s="13" t="s">
        <v>1015</v>
      </c>
      <c r="C508" s="13" t="s">
        <v>2177</v>
      </c>
      <c r="D508" s="13">
        <v>0</v>
      </c>
      <c r="E508" s="13">
        <v>1</v>
      </c>
      <c r="F508" s="13">
        <v>1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</row>
    <row r="509" spans="1:45" ht="23" customHeight="1">
      <c r="A509" s="13" t="s">
        <v>1109</v>
      </c>
      <c r="B509" s="13" t="s">
        <v>1015</v>
      </c>
      <c r="C509" s="13" t="s">
        <v>2178</v>
      </c>
      <c r="D509" s="13">
        <v>0</v>
      </c>
      <c r="E509" s="13">
        <v>1</v>
      </c>
      <c r="F509" s="13">
        <v>1</v>
      </c>
      <c r="G509" s="13">
        <v>0</v>
      </c>
      <c r="H509" s="13">
        <v>0</v>
      </c>
      <c r="I509" s="13">
        <v>0</v>
      </c>
      <c r="J509" s="13">
        <v>1</v>
      </c>
      <c r="K509" s="13">
        <v>1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</row>
    <row r="510" spans="1:45" ht="34" customHeight="1">
      <c r="A510" s="13" t="s">
        <v>1110</v>
      </c>
      <c r="B510" s="13" t="s">
        <v>1111</v>
      </c>
      <c r="C510" s="13" t="s">
        <v>2179</v>
      </c>
      <c r="D510" s="13">
        <v>1</v>
      </c>
      <c r="E510" s="13">
        <v>1</v>
      </c>
      <c r="F510" s="13">
        <v>1</v>
      </c>
      <c r="G510" s="13">
        <v>0</v>
      </c>
      <c r="H510" s="13">
        <v>0</v>
      </c>
      <c r="I510" s="13">
        <v>-4</v>
      </c>
      <c r="J510" s="13">
        <v>0</v>
      </c>
      <c r="K510" s="13">
        <v>0</v>
      </c>
      <c r="L510" s="13">
        <v>0</v>
      </c>
      <c r="M510" s="13">
        <v>0</v>
      </c>
      <c r="N510" s="13">
        <v>-1</v>
      </c>
      <c r="O510" s="13">
        <v>0</v>
      </c>
      <c r="P510" s="13">
        <v>0</v>
      </c>
      <c r="Q510" s="13">
        <v>0</v>
      </c>
      <c r="R510" s="13">
        <v>0</v>
      </c>
      <c r="S510" s="13">
        <v>-1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</row>
    <row r="511" spans="1:45" ht="23" customHeight="1">
      <c r="A511" s="13" t="s">
        <v>1112</v>
      </c>
      <c r="B511" s="13" t="s">
        <v>1015</v>
      </c>
      <c r="C511" s="13"/>
      <c r="D511" s="13">
        <v>0</v>
      </c>
      <c r="E511" s="13">
        <v>1</v>
      </c>
      <c r="F511" s="13">
        <v>1</v>
      </c>
      <c r="G511" s="13">
        <v>0</v>
      </c>
      <c r="H511" s="13">
        <v>0</v>
      </c>
      <c r="I511" s="13">
        <v>0</v>
      </c>
      <c r="J511" s="13">
        <v>0</v>
      </c>
      <c r="K511" s="13">
        <v>1</v>
      </c>
      <c r="L511" s="13">
        <v>0</v>
      </c>
      <c r="M511" s="13">
        <v>-1</v>
      </c>
      <c r="N511" s="13">
        <v>-1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-1</v>
      </c>
    </row>
    <row r="512" spans="1:45" ht="23" customHeight="1">
      <c r="A512" s="13" t="s">
        <v>1113</v>
      </c>
      <c r="B512" s="13" t="s">
        <v>1114</v>
      </c>
      <c r="C512" s="13"/>
      <c r="D512" s="13">
        <v>0</v>
      </c>
      <c r="E512" s="13">
        <v>1</v>
      </c>
      <c r="F512" s="13">
        <v>1</v>
      </c>
      <c r="G512" s="13">
        <v>0</v>
      </c>
      <c r="H512" s="13">
        <v>0</v>
      </c>
      <c r="I512" s="13">
        <v>0</v>
      </c>
      <c r="J512" s="13">
        <v>1</v>
      </c>
      <c r="K512" s="13">
        <v>1</v>
      </c>
      <c r="L512" s="13">
        <v>0</v>
      </c>
      <c r="M512" s="13">
        <v>0</v>
      </c>
      <c r="N512" s="13">
        <v>-2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</row>
    <row r="513" spans="1:45" ht="34" customHeight="1">
      <c r="A513" s="13" t="s">
        <v>1115</v>
      </c>
      <c r="B513" s="13" t="s">
        <v>1116</v>
      </c>
      <c r="C513" s="13"/>
      <c r="D513" s="13">
        <v>0</v>
      </c>
      <c r="E513" s="13">
        <v>1</v>
      </c>
      <c r="F513" s="13">
        <v>2</v>
      </c>
      <c r="G513" s="13">
        <v>0</v>
      </c>
      <c r="H513" s="13">
        <v>-1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-1</v>
      </c>
    </row>
    <row r="514" spans="1:45" ht="20" customHeight="1">
      <c r="A514" s="13" t="s">
        <v>1117</v>
      </c>
      <c r="B514" s="13" t="s">
        <v>221</v>
      </c>
      <c r="C514" s="13" t="s">
        <v>2180</v>
      </c>
      <c r="D514" s="13">
        <v>0</v>
      </c>
      <c r="E514" s="13">
        <v>1</v>
      </c>
      <c r="F514" s="13">
        <v>1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</row>
    <row r="515" spans="1:45" ht="23" customHeight="1">
      <c r="A515" s="13" t="s">
        <v>1118</v>
      </c>
      <c r="B515" s="13" t="s">
        <v>282</v>
      </c>
      <c r="C515" s="13"/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1</v>
      </c>
      <c r="K515" s="13">
        <v>0</v>
      </c>
      <c r="L515" s="13">
        <v>0</v>
      </c>
      <c r="M515" s="14">
        <v>1</v>
      </c>
      <c r="N515" s="13">
        <v>-4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4">
        <v>1</v>
      </c>
    </row>
    <row r="516" spans="1:45" ht="23" customHeight="1">
      <c r="A516" s="13" t="s">
        <v>1119</v>
      </c>
      <c r="B516" s="13" t="s">
        <v>1120</v>
      </c>
      <c r="C516" s="13"/>
      <c r="D516" s="13">
        <v>0</v>
      </c>
      <c r="E516" s="13">
        <v>2</v>
      </c>
      <c r="F516" s="13">
        <v>2</v>
      </c>
      <c r="G516" s="13">
        <v>0</v>
      </c>
      <c r="H516" s="13">
        <v>0</v>
      </c>
      <c r="I516" s="13">
        <v>0</v>
      </c>
      <c r="J516" s="13">
        <v>0</v>
      </c>
      <c r="K516" s="13">
        <v>1</v>
      </c>
      <c r="L516" s="13">
        <v>0</v>
      </c>
      <c r="M516" s="13">
        <v>-1</v>
      </c>
      <c r="N516" s="13">
        <v>-1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-1</v>
      </c>
    </row>
    <row r="517" spans="1:45" ht="23" customHeight="1">
      <c r="A517" s="13" t="s">
        <v>1121</v>
      </c>
      <c r="B517" s="13" t="s">
        <v>1120</v>
      </c>
      <c r="C517" s="13" t="s">
        <v>2181</v>
      </c>
      <c r="D517" s="13">
        <v>0</v>
      </c>
      <c r="E517" s="13">
        <v>1</v>
      </c>
      <c r="F517" s="13">
        <v>6</v>
      </c>
      <c r="G517" s="13">
        <v>0</v>
      </c>
      <c r="H517" s="13">
        <v>-5</v>
      </c>
      <c r="I517" s="13">
        <v>0</v>
      </c>
      <c r="J517" s="13">
        <v>3</v>
      </c>
      <c r="K517" s="13">
        <v>0</v>
      </c>
      <c r="L517" s="13">
        <v>0</v>
      </c>
      <c r="M517" s="14">
        <v>3</v>
      </c>
      <c r="N517" s="13">
        <v>-1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-2</v>
      </c>
    </row>
    <row r="518" spans="1:45" ht="23" customHeight="1">
      <c r="A518" s="13" t="s">
        <v>1122</v>
      </c>
      <c r="B518" s="13" t="s">
        <v>1015</v>
      </c>
      <c r="C518" s="13"/>
      <c r="D518" s="13">
        <v>0</v>
      </c>
      <c r="E518" s="13">
        <v>1</v>
      </c>
      <c r="F518" s="13">
        <v>3</v>
      </c>
      <c r="G518" s="13">
        <v>0</v>
      </c>
      <c r="H518" s="13">
        <v>-2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-1</v>
      </c>
    </row>
    <row r="519" spans="1:45" ht="23" customHeight="1">
      <c r="A519" s="13" t="s">
        <v>1123</v>
      </c>
      <c r="B519" s="13" t="s">
        <v>1124</v>
      </c>
      <c r="C519" s="13" t="s">
        <v>2182</v>
      </c>
      <c r="D519" s="13">
        <v>0</v>
      </c>
      <c r="E519" s="13">
        <v>1</v>
      </c>
      <c r="F519" s="13">
        <v>1</v>
      </c>
      <c r="G519" s="13">
        <v>0</v>
      </c>
      <c r="H519" s="13">
        <v>0</v>
      </c>
      <c r="I519" s="13">
        <v>0</v>
      </c>
      <c r="J519" s="13">
        <v>1</v>
      </c>
      <c r="K519" s="13">
        <v>1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</row>
    <row r="520" spans="1:45" ht="23" customHeight="1">
      <c r="A520" s="13" t="s">
        <v>1126</v>
      </c>
      <c r="B520" s="13" t="s">
        <v>731</v>
      </c>
      <c r="C520" s="13"/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-1</v>
      </c>
      <c r="J520" s="13">
        <v>1</v>
      </c>
      <c r="K520" s="13">
        <v>1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</row>
    <row r="521" spans="1:45" ht="23" customHeight="1">
      <c r="A521" s="13" t="s">
        <v>1127</v>
      </c>
      <c r="B521" s="13" t="s">
        <v>41</v>
      </c>
      <c r="C521" s="13" t="s">
        <v>2183</v>
      </c>
      <c r="D521" s="13">
        <v>0</v>
      </c>
      <c r="E521" s="13">
        <v>1</v>
      </c>
      <c r="F521" s="13">
        <v>4</v>
      </c>
      <c r="G521" s="13">
        <v>0</v>
      </c>
      <c r="H521" s="13">
        <v>-3</v>
      </c>
      <c r="I521" s="13">
        <v>-3</v>
      </c>
      <c r="J521" s="13">
        <v>0</v>
      </c>
      <c r="K521" s="13">
        <v>1</v>
      </c>
      <c r="L521" s="13">
        <v>0</v>
      </c>
      <c r="M521" s="13">
        <v>-1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-4</v>
      </c>
    </row>
    <row r="522" spans="1:45" ht="23" customHeight="1">
      <c r="A522" s="13" t="s">
        <v>1128</v>
      </c>
      <c r="B522" s="13" t="s">
        <v>1129</v>
      </c>
      <c r="C522" s="13" t="s">
        <v>2184</v>
      </c>
      <c r="D522" s="13">
        <v>0</v>
      </c>
      <c r="E522" s="13">
        <v>1</v>
      </c>
      <c r="F522" s="13">
        <v>2</v>
      </c>
      <c r="G522" s="13">
        <v>0</v>
      </c>
      <c r="H522" s="13">
        <v>-1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-1</v>
      </c>
    </row>
    <row r="523" spans="1:45" ht="20" customHeight="1">
      <c r="A523" s="13" t="s">
        <v>1130</v>
      </c>
      <c r="B523" s="13" t="s">
        <v>1131</v>
      </c>
      <c r="C523" s="13"/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1</v>
      </c>
      <c r="K523" s="13">
        <v>2</v>
      </c>
      <c r="L523" s="13">
        <v>0</v>
      </c>
      <c r="M523" s="13">
        <v>-1</v>
      </c>
      <c r="N523" s="13">
        <v>-1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-1</v>
      </c>
    </row>
    <row r="524" spans="1:45" ht="23" customHeight="1">
      <c r="A524" s="13" t="s">
        <v>1133</v>
      </c>
      <c r="B524" s="13" t="s">
        <v>1134</v>
      </c>
      <c r="C524" s="13" t="s">
        <v>2185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1</v>
      </c>
      <c r="K524" s="13">
        <v>1</v>
      </c>
      <c r="L524" s="13">
        <v>0</v>
      </c>
      <c r="M524" s="13">
        <v>0</v>
      </c>
      <c r="N524" s="13">
        <v>-3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</row>
    <row r="525" spans="1:45" ht="23" customHeight="1">
      <c r="A525" s="13" t="s">
        <v>1135</v>
      </c>
      <c r="B525" s="13" t="s">
        <v>1136</v>
      </c>
      <c r="C525" s="13"/>
      <c r="D525" s="13">
        <v>0</v>
      </c>
      <c r="E525" s="13">
        <v>1</v>
      </c>
      <c r="F525" s="13">
        <v>1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</row>
    <row r="526" spans="1:45" ht="23" customHeight="1">
      <c r="A526" s="13" t="s">
        <v>1137</v>
      </c>
      <c r="B526" s="13" t="s">
        <v>1138</v>
      </c>
      <c r="C526" s="13" t="s">
        <v>2186</v>
      </c>
      <c r="D526" s="13">
        <v>0</v>
      </c>
      <c r="E526" s="13">
        <v>2</v>
      </c>
      <c r="F526" s="13">
        <v>5</v>
      </c>
      <c r="G526" s="13">
        <v>0</v>
      </c>
      <c r="H526" s="13">
        <v>-3</v>
      </c>
      <c r="I526" s="13">
        <v>-3</v>
      </c>
      <c r="J526" s="13">
        <v>1</v>
      </c>
      <c r="K526" s="13">
        <v>1</v>
      </c>
      <c r="L526" s="13">
        <v>0</v>
      </c>
      <c r="M526" s="13">
        <v>0</v>
      </c>
      <c r="N526" s="13">
        <v>-1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-2</v>
      </c>
    </row>
    <row r="527" spans="1:45" ht="23" customHeight="1">
      <c r="A527" s="13" t="s">
        <v>1140</v>
      </c>
      <c r="B527" s="13" t="s">
        <v>1141</v>
      </c>
      <c r="C527" s="13" t="s">
        <v>2187</v>
      </c>
      <c r="D527" s="13">
        <v>0</v>
      </c>
      <c r="E527" s="13">
        <v>1</v>
      </c>
      <c r="F527" s="13">
        <v>5</v>
      </c>
      <c r="G527" s="13">
        <v>0</v>
      </c>
      <c r="H527" s="13">
        <v>-4</v>
      </c>
      <c r="I527" s="13">
        <v>-3</v>
      </c>
      <c r="J527" s="13">
        <v>1</v>
      </c>
      <c r="K527" s="13">
        <v>1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-4</v>
      </c>
    </row>
    <row r="528" spans="1:45" ht="46" customHeight="1">
      <c r="A528" s="13" t="s">
        <v>1143</v>
      </c>
      <c r="B528" s="13" t="s">
        <v>1144</v>
      </c>
      <c r="C528" s="13" t="s">
        <v>2188</v>
      </c>
      <c r="D528" s="13">
        <v>0</v>
      </c>
      <c r="E528" s="13">
        <v>4</v>
      </c>
      <c r="F528" s="13">
        <v>21</v>
      </c>
      <c r="G528" s="13">
        <v>0</v>
      </c>
      <c r="H528" s="13">
        <v>-17</v>
      </c>
      <c r="I528" s="13">
        <v>-2</v>
      </c>
      <c r="J528" s="13">
        <v>2</v>
      </c>
      <c r="K528" s="13">
        <v>2</v>
      </c>
      <c r="L528" s="13">
        <v>0</v>
      </c>
      <c r="M528" s="13">
        <v>0</v>
      </c>
      <c r="N528" s="13">
        <v>-2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-4</v>
      </c>
    </row>
    <row r="529" spans="1:45" ht="34" customHeight="1">
      <c r="A529" s="13" t="s">
        <v>1145</v>
      </c>
      <c r="B529" s="13" t="s">
        <v>1146</v>
      </c>
      <c r="C529" s="13" t="s">
        <v>2189</v>
      </c>
      <c r="D529" s="13">
        <v>0</v>
      </c>
      <c r="E529" s="13">
        <v>0</v>
      </c>
      <c r="F529" s="13">
        <v>4</v>
      </c>
      <c r="G529" s="13">
        <v>0</v>
      </c>
      <c r="H529" s="13">
        <v>-4</v>
      </c>
      <c r="I529" s="13">
        <v>0</v>
      </c>
      <c r="J529" s="13">
        <v>1</v>
      </c>
      <c r="K529" s="13">
        <v>1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-3</v>
      </c>
    </row>
    <row r="530" spans="1:45" ht="34" customHeight="1">
      <c r="A530" s="13" t="s">
        <v>1147</v>
      </c>
      <c r="B530" s="13" t="s">
        <v>193</v>
      </c>
      <c r="C530" s="13"/>
      <c r="D530" s="13">
        <v>0</v>
      </c>
      <c r="E530" s="13">
        <v>1</v>
      </c>
      <c r="F530" s="13">
        <v>33</v>
      </c>
      <c r="G530" s="13">
        <v>0</v>
      </c>
      <c r="H530" s="13">
        <v>-32</v>
      </c>
      <c r="I530" s="13">
        <v>-2</v>
      </c>
      <c r="J530" s="13">
        <v>0</v>
      </c>
      <c r="K530" s="13">
        <v>11</v>
      </c>
      <c r="L530" s="13">
        <v>0</v>
      </c>
      <c r="M530" s="13">
        <v>-11</v>
      </c>
      <c r="N530" s="13">
        <v>-1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-33</v>
      </c>
    </row>
    <row r="531" spans="1:45" ht="46" customHeight="1">
      <c r="A531" s="13" t="s">
        <v>1148</v>
      </c>
      <c r="B531" s="13" t="s">
        <v>1149</v>
      </c>
      <c r="C531" s="13" t="s">
        <v>2190</v>
      </c>
      <c r="D531" s="13">
        <v>1</v>
      </c>
      <c r="E531" s="13">
        <v>3</v>
      </c>
      <c r="F531" s="13">
        <v>4</v>
      </c>
      <c r="G531" s="13">
        <v>0</v>
      </c>
      <c r="H531" s="13">
        <v>-1</v>
      </c>
      <c r="I531" s="13">
        <v>-17</v>
      </c>
      <c r="J531" s="13">
        <v>2</v>
      </c>
      <c r="K531" s="13">
        <v>3</v>
      </c>
      <c r="L531" s="13">
        <v>0</v>
      </c>
      <c r="M531" s="13">
        <v>-1</v>
      </c>
      <c r="N531" s="13">
        <v>-9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1</v>
      </c>
      <c r="U531" s="13">
        <v>1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-2</v>
      </c>
    </row>
    <row r="532" spans="1:45" ht="23" customHeight="1">
      <c r="A532" s="13" t="s">
        <v>1150</v>
      </c>
      <c r="B532" s="13" t="s">
        <v>1151</v>
      </c>
      <c r="C532" s="13" t="s">
        <v>2191</v>
      </c>
      <c r="D532" s="13">
        <v>0</v>
      </c>
      <c r="E532" s="13">
        <v>0</v>
      </c>
      <c r="F532" s="13">
        <v>1</v>
      </c>
      <c r="G532" s="13">
        <v>0</v>
      </c>
      <c r="H532" s="13">
        <v>-1</v>
      </c>
      <c r="I532" s="13">
        <v>0</v>
      </c>
      <c r="J532" s="13">
        <v>1</v>
      </c>
      <c r="K532" s="13">
        <v>1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-1</v>
      </c>
    </row>
    <row r="533" spans="1:45" ht="23" customHeight="1">
      <c r="A533" s="13" t="s">
        <v>1153</v>
      </c>
      <c r="B533" s="13" t="s">
        <v>1154</v>
      </c>
      <c r="C533" s="13" t="s">
        <v>2192</v>
      </c>
      <c r="D533" s="13">
        <v>0</v>
      </c>
      <c r="E533" s="13">
        <v>1</v>
      </c>
      <c r="F533" s="13">
        <v>3</v>
      </c>
      <c r="G533" s="13">
        <v>0</v>
      </c>
      <c r="H533" s="13">
        <v>-2</v>
      </c>
      <c r="I533" s="13">
        <v>-2</v>
      </c>
      <c r="J533" s="13">
        <v>0</v>
      </c>
      <c r="K533" s="13">
        <v>1</v>
      </c>
      <c r="L533" s="13">
        <v>0</v>
      </c>
      <c r="M533" s="13">
        <v>-1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-3</v>
      </c>
    </row>
    <row r="534" spans="1:45" ht="23" customHeight="1">
      <c r="A534" s="13" t="s">
        <v>1155</v>
      </c>
      <c r="B534" s="13" t="s">
        <v>1154</v>
      </c>
      <c r="C534" s="13"/>
      <c r="D534" s="13">
        <v>0</v>
      </c>
      <c r="E534" s="13">
        <v>0</v>
      </c>
      <c r="F534" s="13">
        <v>2</v>
      </c>
      <c r="G534" s="13">
        <v>0</v>
      </c>
      <c r="H534" s="13">
        <v>-2</v>
      </c>
      <c r="I534" s="13">
        <v>0</v>
      </c>
      <c r="J534" s="13">
        <v>1</v>
      </c>
      <c r="K534" s="13">
        <v>1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-1</v>
      </c>
    </row>
    <row r="535" spans="1:45" ht="23" customHeight="1">
      <c r="A535" s="13" t="s">
        <v>1156</v>
      </c>
      <c r="B535" s="13" t="s">
        <v>53</v>
      </c>
      <c r="C535" s="13"/>
      <c r="D535" s="13">
        <v>0</v>
      </c>
      <c r="E535" s="13">
        <v>1</v>
      </c>
      <c r="F535" s="13">
        <v>5</v>
      </c>
      <c r="G535" s="13">
        <v>0</v>
      </c>
      <c r="H535" s="13">
        <v>-4</v>
      </c>
      <c r="I535" s="13">
        <v>-3</v>
      </c>
      <c r="J535" s="13">
        <v>0</v>
      </c>
      <c r="K535" s="13">
        <v>1</v>
      </c>
      <c r="L535" s="13">
        <v>0</v>
      </c>
      <c r="M535" s="13">
        <v>-1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-5</v>
      </c>
    </row>
    <row r="536" spans="1:45" ht="23" customHeight="1">
      <c r="A536" s="13" t="s">
        <v>1157</v>
      </c>
      <c r="B536" s="13" t="s">
        <v>58</v>
      </c>
      <c r="C536" s="13"/>
      <c r="D536" s="13">
        <v>0</v>
      </c>
      <c r="E536" s="13">
        <v>2</v>
      </c>
      <c r="F536" s="13">
        <v>4</v>
      </c>
      <c r="G536" s="13">
        <v>0</v>
      </c>
      <c r="H536" s="13">
        <v>-2</v>
      </c>
      <c r="I536" s="13">
        <v>-1</v>
      </c>
      <c r="J536" s="13">
        <v>1</v>
      </c>
      <c r="K536" s="13">
        <v>3</v>
      </c>
      <c r="L536" s="13">
        <v>0</v>
      </c>
      <c r="M536" s="13">
        <v>-2</v>
      </c>
      <c r="N536" s="13">
        <v>-4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-4</v>
      </c>
    </row>
    <row r="537" spans="1:45" ht="23" customHeight="1">
      <c r="A537" s="13" t="s">
        <v>1159</v>
      </c>
      <c r="B537" s="13" t="s">
        <v>55</v>
      </c>
      <c r="C537" s="13" t="s">
        <v>2193</v>
      </c>
      <c r="D537" s="13">
        <v>0</v>
      </c>
      <c r="E537" s="13">
        <v>1</v>
      </c>
      <c r="F537" s="13">
        <v>4</v>
      </c>
      <c r="G537" s="13">
        <v>0</v>
      </c>
      <c r="H537" s="13">
        <v>-3</v>
      </c>
      <c r="I537" s="13">
        <v>-1</v>
      </c>
      <c r="J537" s="13">
        <v>0</v>
      </c>
      <c r="K537" s="13">
        <v>1</v>
      </c>
      <c r="L537" s="13">
        <v>0</v>
      </c>
      <c r="M537" s="13">
        <v>-1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-3</v>
      </c>
    </row>
    <row r="538" spans="1:45" ht="23" customHeight="1">
      <c r="A538" s="13" t="s">
        <v>1160</v>
      </c>
      <c r="B538" s="13" t="s">
        <v>941</v>
      </c>
      <c r="C538" s="13"/>
      <c r="D538" s="13">
        <v>1</v>
      </c>
      <c r="E538" s="13">
        <v>2</v>
      </c>
      <c r="F538" s="13">
        <v>12</v>
      </c>
      <c r="G538" s="13">
        <v>0</v>
      </c>
      <c r="H538" s="13">
        <v>-10</v>
      </c>
      <c r="I538" s="13">
        <v>-5</v>
      </c>
      <c r="J538" s="13">
        <v>2</v>
      </c>
      <c r="K538" s="13">
        <v>3</v>
      </c>
      <c r="L538" s="13">
        <v>0</v>
      </c>
      <c r="M538" s="13">
        <v>-1</v>
      </c>
      <c r="N538" s="13">
        <v>-2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-2</v>
      </c>
    </row>
    <row r="539" spans="1:45" ht="23" customHeight="1">
      <c r="A539" s="13" t="s">
        <v>1161</v>
      </c>
      <c r="B539" s="13" t="s">
        <v>1136</v>
      </c>
      <c r="C539" s="13"/>
      <c r="D539" s="13">
        <v>0</v>
      </c>
      <c r="E539" s="13">
        <v>1</v>
      </c>
      <c r="F539" s="13">
        <v>2</v>
      </c>
      <c r="G539" s="13">
        <v>0</v>
      </c>
      <c r="H539" s="13">
        <v>-1</v>
      </c>
      <c r="I539" s="13">
        <v>0</v>
      </c>
      <c r="J539" s="13">
        <v>1</v>
      </c>
      <c r="K539" s="13">
        <v>1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</row>
    <row r="540" spans="1:45" ht="23" customHeight="1">
      <c r="A540" s="13" t="s">
        <v>1162</v>
      </c>
      <c r="B540" s="13" t="s">
        <v>956</v>
      </c>
      <c r="C540" s="13"/>
      <c r="D540" s="13">
        <v>0</v>
      </c>
      <c r="E540" s="13">
        <v>0</v>
      </c>
      <c r="F540" s="13">
        <v>2</v>
      </c>
      <c r="G540" s="13">
        <v>0</v>
      </c>
      <c r="H540" s="13">
        <v>-2</v>
      </c>
      <c r="I540" s="13">
        <v>-1</v>
      </c>
      <c r="J540" s="13">
        <v>1</v>
      </c>
      <c r="K540" s="13">
        <v>2</v>
      </c>
      <c r="L540" s="13">
        <v>0</v>
      </c>
      <c r="M540" s="13">
        <v>-1</v>
      </c>
      <c r="N540" s="13">
        <v>-1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-3</v>
      </c>
    </row>
    <row r="541" spans="1:45" ht="34" customHeight="1">
      <c r="A541" s="13" t="s">
        <v>1163</v>
      </c>
      <c r="B541" s="13" t="s">
        <v>38</v>
      </c>
      <c r="C541" s="13" t="s">
        <v>2194</v>
      </c>
      <c r="D541" s="13">
        <v>0</v>
      </c>
      <c r="E541" s="13">
        <v>1</v>
      </c>
      <c r="F541" s="13">
        <v>13</v>
      </c>
      <c r="G541" s="13">
        <v>0</v>
      </c>
      <c r="H541" s="13">
        <v>-12</v>
      </c>
      <c r="I541" s="13">
        <v>-5</v>
      </c>
      <c r="J541" s="13">
        <v>0</v>
      </c>
      <c r="K541" s="13">
        <v>2</v>
      </c>
      <c r="L541" s="13">
        <v>0</v>
      </c>
      <c r="M541" s="13">
        <v>-2</v>
      </c>
      <c r="N541" s="13">
        <v>-1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-6</v>
      </c>
    </row>
    <row r="542" spans="1:45" ht="23" customHeight="1">
      <c r="A542" s="13" t="s">
        <v>1165</v>
      </c>
      <c r="B542" s="13" t="s">
        <v>1166</v>
      </c>
      <c r="C542" s="13"/>
      <c r="D542" s="13">
        <v>0</v>
      </c>
      <c r="E542" s="13">
        <v>1</v>
      </c>
      <c r="F542" s="13">
        <v>4</v>
      </c>
      <c r="G542" s="13">
        <v>0</v>
      </c>
      <c r="H542" s="13">
        <v>-3</v>
      </c>
      <c r="I542" s="13">
        <v>0</v>
      </c>
      <c r="J542" s="13">
        <v>1</v>
      </c>
      <c r="K542" s="13">
        <v>1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-1</v>
      </c>
    </row>
    <row r="543" spans="1:45" ht="23" customHeight="1">
      <c r="A543" s="13" t="s">
        <v>1167</v>
      </c>
      <c r="B543" s="13" t="s">
        <v>38</v>
      </c>
      <c r="C543" s="13"/>
      <c r="D543" s="13">
        <v>0</v>
      </c>
      <c r="E543" s="13">
        <v>1</v>
      </c>
      <c r="F543" s="13">
        <v>1</v>
      </c>
      <c r="G543" s="13">
        <v>0</v>
      </c>
      <c r="H543" s="13">
        <v>0</v>
      </c>
      <c r="I543" s="13">
        <v>-3</v>
      </c>
      <c r="J543" s="13">
        <v>1</v>
      </c>
      <c r="K543" s="13">
        <v>1</v>
      </c>
      <c r="L543" s="13">
        <v>0</v>
      </c>
      <c r="M543" s="13">
        <v>0</v>
      </c>
      <c r="N543" s="13">
        <v>-1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</row>
    <row r="544" spans="1:45" ht="23" customHeight="1">
      <c r="A544" s="13" t="s">
        <v>1168</v>
      </c>
      <c r="B544" s="13" t="s">
        <v>1089</v>
      </c>
      <c r="C544" s="13"/>
      <c r="D544" s="13">
        <v>0</v>
      </c>
      <c r="E544" s="13">
        <v>0</v>
      </c>
      <c r="F544" s="13">
        <v>3</v>
      </c>
      <c r="G544" s="13">
        <v>0</v>
      </c>
      <c r="H544" s="13">
        <v>-3</v>
      </c>
      <c r="I544" s="13">
        <v>-4</v>
      </c>
      <c r="J544" s="13">
        <v>1</v>
      </c>
      <c r="K544" s="13">
        <v>1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-2</v>
      </c>
    </row>
    <row r="545" spans="1:45" ht="23" customHeight="1">
      <c r="A545" s="13" t="s">
        <v>1169</v>
      </c>
      <c r="B545" s="13" t="s">
        <v>1170</v>
      </c>
      <c r="C545" s="13"/>
      <c r="D545" s="13">
        <v>0</v>
      </c>
      <c r="E545" s="13">
        <v>1</v>
      </c>
      <c r="F545" s="13">
        <v>4</v>
      </c>
      <c r="G545" s="13">
        <v>0</v>
      </c>
      <c r="H545" s="13">
        <v>-3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-1</v>
      </c>
    </row>
    <row r="546" spans="1:45" ht="23" customHeight="1">
      <c r="A546" s="13" t="s">
        <v>1171</v>
      </c>
      <c r="B546" s="13" t="s">
        <v>1172</v>
      </c>
      <c r="C546" s="13"/>
      <c r="D546" s="13">
        <v>0</v>
      </c>
      <c r="E546" s="13">
        <v>1</v>
      </c>
      <c r="F546" s="13">
        <v>6</v>
      </c>
      <c r="G546" s="13">
        <v>0</v>
      </c>
      <c r="H546" s="13">
        <v>-5</v>
      </c>
      <c r="I546" s="13">
        <v>-7</v>
      </c>
      <c r="J546" s="13">
        <v>0</v>
      </c>
      <c r="K546" s="13">
        <v>0</v>
      </c>
      <c r="L546" s="13">
        <v>0</v>
      </c>
      <c r="M546" s="13">
        <v>0</v>
      </c>
      <c r="N546" s="13">
        <v>-4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-5</v>
      </c>
    </row>
    <row r="547" spans="1:45" ht="23" customHeight="1">
      <c r="A547" s="13" t="s">
        <v>1173</v>
      </c>
      <c r="B547" s="13" t="s">
        <v>50</v>
      </c>
      <c r="C547" s="13" t="s">
        <v>2195</v>
      </c>
      <c r="D547" s="13">
        <v>0</v>
      </c>
      <c r="E547" s="13">
        <v>1</v>
      </c>
      <c r="F547" s="13">
        <v>0</v>
      </c>
      <c r="G547" s="13">
        <v>0</v>
      </c>
      <c r="H547" s="14">
        <v>1</v>
      </c>
      <c r="I547" s="13">
        <v>-7</v>
      </c>
      <c r="J547" s="13">
        <v>1</v>
      </c>
      <c r="K547" s="13">
        <v>0</v>
      </c>
      <c r="L547" s="13">
        <v>0</v>
      </c>
      <c r="M547" s="14">
        <v>1</v>
      </c>
      <c r="N547" s="13">
        <v>-1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4">
        <v>2</v>
      </c>
    </row>
    <row r="548" spans="1:45" ht="23" customHeight="1">
      <c r="A548" s="13" t="s">
        <v>1174</v>
      </c>
      <c r="B548" s="13" t="s">
        <v>1175</v>
      </c>
      <c r="C548" s="13" t="s">
        <v>2196</v>
      </c>
      <c r="D548" s="13">
        <v>0</v>
      </c>
      <c r="E548" s="13">
        <v>0</v>
      </c>
      <c r="F548" s="13">
        <v>1</v>
      </c>
      <c r="G548" s="13">
        <v>0</v>
      </c>
      <c r="H548" s="13">
        <v>-1</v>
      </c>
      <c r="I548" s="13">
        <v>0</v>
      </c>
      <c r="J548" s="13">
        <v>1</v>
      </c>
      <c r="K548" s="13">
        <v>1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-1</v>
      </c>
    </row>
    <row r="549" spans="1:45" ht="23" customHeight="1">
      <c r="A549" s="13" t="s">
        <v>1176</v>
      </c>
      <c r="B549" s="13" t="s">
        <v>1177</v>
      </c>
      <c r="C549" s="13" t="s">
        <v>2197</v>
      </c>
      <c r="D549" s="13">
        <v>0</v>
      </c>
      <c r="E549" s="13">
        <v>0</v>
      </c>
      <c r="F549" s="13">
        <v>5</v>
      </c>
      <c r="G549" s="13">
        <v>0</v>
      </c>
      <c r="H549" s="13">
        <v>-5</v>
      </c>
      <c r="I549" s="13">
        <v>0</v>
      </c>
      <c r="J549" s="13">
        <v>1</v>
      </c>
      <c r="K549" s="13">
        <v>1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</row>
    <row r="550" spans="1:45" ht="23" customHeight="1">
      <c r="A550" s="13" t="s">
        <v>1178</v>
      </c>
      <c r="B550" s="13" t="s">
        <v>1179</v>
      </c>
      <c r="C550" s="13"/>
      <c r="D550" s="13">
        <v>1</v>
      </c>
      <c r="E550" s="13">
        <v>1</v>
      </c>
      <c r="F550" s="13">
        <v>2</v>
      </c>
      <c r="G550" s="13">
        <v>0</v>
      </c>
      <c r="H550" s="13">
        <v>-1</v>
      </c>
      <c r="I550" s="13">
        <v>-6</v>
      </c>
      <c r="J550" s="13">
        <v>1</v>
      </c>
      <c r="K550" s="13">
        <v>1</v>
      </c>
      <c r="L550" s="13">
        <v>0</v>
      </c>
      <c r="M550" s="13">
        <v>0</v>
      </c>
      <c r="N550" s="13">
        <v>-3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-1</v>
      </c>
    </row>
    <row r="551" spans="1:45" ht="23" customHeight="1">
      <c r="A551" s="13" t="s">
        <v>1180</v>
      </c>
      <c r="B551" s="13" t="s">
        <v>1170</v>
      </c>
      <c r="C551" s="13"/>
      <c r="D551" s="13">
        <v>0</v>
      </c>
      <c r="E551" s="13">
        <v>0</v>
      </c>
      <c r="F551" s="13">
        <v>1</v>
      </c>
      <c r="G551" s="13">
        <v>0</v>
      </c>
      <c r="H551" s="13">
        <v>-1</v>
      </c>
      <c r="I551" s="13">
        <v>0</v>
      </c>
      <c r="J551" s="13">
        <v>1</v>
      </c>
      <c r="K551" s="13">
        <v>1</v>
      </c>
      <c r="L551" s="13">
        <v>0</v>
      </c>
      <c r="M551" s="13">
        <v>0</v>
      </c>
      <c r="N551" s="13">
        <v>-2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-1</v>
      </c>
    </row>
    <row r="552" spans="1:45" ht="23" customHeight="1">
      <c r="A552" s="13" t="s">
        <v>1181</v>
      </c>
      <c r="B552" s="13" t="s">
        <v>38</v>
      </c>
      <c r="C552" s="13"/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1</v>
      </c>
      <c r="K552" s="13">
        <v>1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</row>
    <row r="553" spans="1:45" ht="23" customHeight="1">
      <c r="A553" s="13" t="s">
        <v>1182</v>
      </c>
      <c r="B553" s="13" t="s">
        <v>1089</v>
      </c>
      <c r="C553" s="13" t="s">
        <v>1168</v>
      </c>
      <c r="D553" s="13">
        <v>0</v>
      </c>
      <c r="E553" s="13">
        <v>0</v>
      </c>
      <c r="F553" s="13">
        <v>6</v>
      </c>
      <c r="G553" s="13">
        <v>0</v>
      </c>
      <c r="H553" s="13">
        <v>-6</v>
      </c>
      <c r="I553" s="13">
        <v>-4</v>
      </c>
      <c r="J553" s="13">
        <v>1</v>
      </c>
      <c r="K553" s="13">
        <v>2</v>
      </c>
      <c r="L553" s="13">
        <v>0</v>
      </c>
      <c r="M553" s="13">
        <v>-1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-4</v>
      </c>
    </row>
    <row r="554" spans="1:45" ht="34" customHeight="1">
      <c r="A554" s="13" t="s">
        <v>1184</v>
      </c>
      <c r="B554" s="13" t="s">
        <v>1185</v>
      </c>
      <c r="C554" s="13"/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1</v>
      </c>
      <c r="K554" s="13">
        <v>1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</row>
    <row r="555" spans="1:45" ht="23" customHeight="1">
      <c r="A555" s="13" t="s">
        <v>1186</v>
      </c>
      <c r="B555" s="13" t="s">
        <v>1187</v>
      </c>
      <c r="C555" s="13"/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1</v>
      </c>
      <c r="K555" s="13">
        <v>1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</row>
    <row r="556" spans="1:45" ht="23" customHeight="1">
      <c r="A556" s="13" t="s">
        <v>1188</v>
      </c>
      <c r="B556" s="13" t="s">
        <v>1189</v>
      </c>
      <c r="C556" s="13"/>
      <c r="D556" s="13">
        <v>1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1</v>
      </c>
      <c r="K556" s="13">
        <v>0</v>
      </c>
      <c r="L556" s="13">
        <v>0</v>
      </c>
      <c r="M556" s="14">
        <v>1</v>
      </c>
      <c r="N556" s="13">
        <v>-2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4">
        <v>1</v>
      </c>
    </row>
    <row r="557" spans="1:45" ht="20" customHeight="1">
      <c r="A557" s="13" t="s">
        <v>1190</v>
      </c>
      <c r="B557" s="13" t="s">
        <v>1191</v>
      </c>
      <c r="C557" s="13" t="s">
        <v>2198</v>
      </c>
      <c r="D557" s="13">
        <v>0</v>
      </c>
      <c r="E557" s="13">
        <v>1</v>
      </c>
      <c r="F557" s="13">
        <v>1</v>
      </c>
      <c r="G557" s="13">
        <v>0</v>
      </c>
      <c r="H557" s="13">
        <v>0</v>
      </c>
      <c r="I557" s="13">
        <v>0</v>
      </c>
      <c r="J557" s="13">
        <v>1</v>
      </c>
      <c r="K557" s="13">
        <v>1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</row>
    <row r="558" spans="1:45" ht="20" customHeight="1">
      <c r="A558" s="13" t="s">
        <v>1193</v>
      </c>
      <c r="B558" s="13" t="s">
        <v>1194</v>
      </c>
      <c r="C558" s="13"/>
      <c r="D558" s="13">
        <v>0</v>
      </c>
      <c r="E558" s="13">
        <v>1</v>
      </c>
      <c r="F558" s="13">
        <v>7</v>
      </c>
      <c r="G558" s="13">
        <v>0</v>
      </c>
      <c r="H558" s="13">
        <v>-6</v>
      </c>
      <c r="I558" s="13">
        <v>-3</v>
      </c>
      <c r="J558" s="13">
        <v>0</v>
      </c>
      <c r="K558" s="13">
        <v>1</v>
      </c>
      <c r="L558" s="13">
        <v>0</v>
      </c>
      <c r="M558" s="13">
        <v>-1</v>
      </c>
      <c r="N558" s="13">
        <v>-1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-7</v>
      </c>
    </row>
    <row r="559" spans="1:45" ht="23" customHeight="1">
      <c r="A559" s="13" t="s">
        <v>1195</v>
      </c>
      <c r="B559" s="13" t="s">
        <v>1196</v>
      </c>
      <c r="C559" s="13" t="s">
        <v>2199</v>
      </c>
      <c r="D559" s="13">
        <v>0</v>
      </c>
      <c r="E559" s="13">
        <v>1</v>
      </c>
      <c r="F559" s="13">
        <v>1</v>
      </c>
      <c r="G559" s="13">
        <v>0</v>
      </c>
      <c r="H559" s="13">
        <v>0</v>
      </c>
      <c r="I559" s="13">
        <v>-2</v>
      </c>
      <c r="J559" s="13">
        <v>0</v>
      </c>
      <c r="K559" s="13">
        <v>1</v>
      </c>
      <c r="L559" s="13">
        <v>0</v>
      </c>
      <c r="M559" s="13">
        <v>-1</v>
      </c>
      <c r="N559" s="13">
        <v>-1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-1</v>
      </c>
    </row>
    <row r="560" spans="1:45" ht="34" customHeight="1">
      <c r="A560" s="13" t="s">
        <v>1197</v>
      </c>
      <c r="B560" s="13" t="s">
        <v>1198</v>
      </c>
      <c r="C560" s="13"/>
      <c r="D560" s="13">
        <v>1</v>
      </c>
      <c r="E560" s="13">
        <v>1</v>
      </c>
      <c r="F560" s="13">
        <v>2</v>
      </c>
      <c r="G560" s="13">
        <v>0</v>
      </c>
      <c r="H560" s="13">
        <v>-1</v>
      </c>
      <c r="I560" s="13">
        <v>0</v>
      </c>
      <c r="J560" s="13">
        <v>1</v>
      </c>
      <c r="K560" s="13">
        <v>1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-1</v>
      </c>
    </row>
    <row r="561" spans="1:45" ht="23" customHeight="1">
      <c r="A561" s="13" t="s">
        <v>1199</v>
      </c>
      <c r="B561" s="13" t="s">
        <v>1200</v>
      </c>
      <c r="C561" s="13"/>
      <c r="D561" s="13">
        <v>0</v>
      </c>
      <c r="E561" s="13">
        <v>1</v>
      </c>
      <c r="F561" s="13">
        <v>2</v>
      </c>
      <c r="G561" s="13">
        <v>0</v>
      </c>
      <c r="H561" s="13">
        <v>-1</v>
      </c>
      <c r="I561" s="13">
        <v>0</v>
      </c>
      <c r="J561" s="13">
        <v>0</v>
      </c>
      <c r="K561" s="13">
        <v>1</v>
      </c>
      <c r="L561" s="13">
        <v>0</v>
      </c>
      <c r="M561" s="13">
        <v>-1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-1</v>
      </c>
    </row>
    <row r="562" spans="1:45" ht="23" customHeight="1">
      <c r="A562" s="13" t="s">
        <v>1201</v>
      </c>
      <c r="B562" s="13" t="s">
        <v>1202</v>
      </c>
      <c r="C562" s="13" t="s">
        <v>2200</v>
      </c>
      <c r="D562" s="13">
        <v>0</v>
      </c>
      <c r="E562" s="13">
        <v>0</v>
      </c>
      <c r="F562" s="13">
        <v>6</v>
      </c>
      <c r="G562" s="13">
        <v>0</v>
      </c>
      <c r="H562" s="13">
        <v>-6</v>
      </c>
      <c r="I562" s="13">
        <v>0</v>
      </c>
      <c r="J562" s="13">
        <v>1</v>
      </c>
      <c r="K562" s="13">
        <v>1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1</v>
      </c>
      <c r="AP562" s="13">
        <v>0</v>
      </c>
      <c r="AQ562" s="13">
        <v>-1</v>
      </c>
      <c r="AR562" s="13">
        <v>0</v>
      </c>
      <c r="AS562" s="13">
        <v>-3</v>
      </c>
    </row>
    <row r="563" spans="1:45" ht="34" customHeight="1">
      <c r="A563" s="13" t="s">
        <v>1203</v>
      </c>
      <c r="B563" s="13" t="s">
        <v>1204</v>
      </c>
      <c r="C563" s="13"/>
      <c r="D563" s="13">
        <v>0</v>
      </c>
      <c r="E563" s="13">
        <v>1</v>
      </c>
      <c r="F563" s="13">
        <v>3</v>
      </c>
      <c r="G563" s="13">
        <v>0</v>
      </c>
      <c r="H563" s="13">
        <v>-2</v>
      </c>
      <c r="I563" s="13">
        <v>-1</v>
      </c>
      <c r="J563" s="13">
        <v>1</v>
      </c>
      <c r="K563" s="13">
        <v>1</v>
      </c>
      <c r="L563" s="13">
        <v>0</v>
      </c>
      <c r="M563" s="13">
        <v>0</v>
      </c>
      <c r="N563" s="13">
        <v>-1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-1</v>
      </c>
    </row>
    <row r="564" spans="1:45" ht="23" customHeight="1">
      <c r="A564" s="13" t="s">
        <v>1205</v>
      </c>
      <c r="B564" s="13" t="s">
        <v>199</v>
      </c>
      <c r="C564" s="13"/>
      <c r="D564" s="13">
        <v>0</v>
      </c>
      <c r="E564" s="13">
        <v>1</v>
      </c>
      <c r="F564" s="13">
        <v>1</v>
      </c>
      <c r="G564" s="13">
        <v>0</v>
      </c>
      <c r="H564" s="13">
        <v>0</v>
      </c>
      <c r="I564" s="13">
        <v>0</v>
      </c>
      <c r="J564" s="13">
        <v>2</v>
      </c>
      <c r="K564" s="13">
        <v>2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</row>
    <row r="565" spans="1:45" ht="23" customHeight="1">
      <c r="A565" s="13" t="s">
        <v>1207</v>
      </c>
      <c r="B565" s="13" t="s">
        <v>1208</v>
      </c>
      <c r="C565" s="13"/>
      <c r="D565" s="13">
        <v>0</v>
      </c>
      <c r="E565" s="13">
        <v>2</v>
      </c>
      <c r="F565" s="13">
        <v>3</v>
      </c>
      <c r="G565" s="13">
        <v>0</v>
      </c>
      <c r="H565" s="13">
        <v>-1</v>
      </c>
      <c r="I565" s="13">
        <v>0</v>
      </c>
      <c r="J565" s="13">
        <v>1</v>
      </c>
      <c r="K565" s="13">
        <v>3</v>
      </c>
      <c r="L565" s="13">
        <v>0</v>
      </c>
      <c r="M565" s="13">
        <v>-2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-3</v>
      </c>
    </row>
    <row r="566" spans="1:45" ht="23" customHeight="1">
      <c r="A566" s="13" t="s">
        <v>1209</v>
      </c>
      <c r="B566" s="13" t="s">
        <v>1208</v>
      </c>
      <c r="C566" s="13"/>
      <c r="D566" s="13">
        <v>0</v>
      </c>
      <c r="E566" s="13">
        <v>2</v>
      </c>
      <c r="F566" s="13">
        <v>4</v>
      </c>
      <c r="G566" s="13">
        <v>0</v>
      </c>
      <c r="H566" s="13">
        <v>-2</v>
      </c>
      <c r="I566" s="13">
        <v>-12</v>
      </c>
      <c r="J566" s="13">
        <v>2</v>
      </c>
      <c r="K566" s="13">
        <v>6</v>
      </c>
      <c r="L566" s="13">
        <v>0</v>
      </c>
      <c r="M566" s="13">
        <v>-4</v>
      </c>
      <c r="N566" s="13">
        <v>-32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-6</v>
      </c>
    </row>
    <row r="567" spans="1:45" ht="23" customHeight="1">
      <c r="A567" s="13" t="s">
        <v>1210</v>
      </c>
      <c r="B567" s="13" t="s">
        <v>1208</v>
      </c>
      <c r="C567" s="13"/>
      <c r="D567" s="13">
        <v>0</v>
      </c>
      <c r="E567" s="13">
        <v>2</v>
      </c>
      <c r="F567" s="13">
        <v>9</v>
      </c>
      <c r="G567" s="13">
        <v>0</v>
      </c>
      <c r="H567" s="13">
        <v>-7</v>
      </c>
      <c r="I567" s="13">
        <v>-5</v>
      </c>
      <c r="J567" s="13">
        <v>0</v>
      </c>
      <c r="K567" s="13">
        <v>4</v>
      </c>
      <c r="L567" s="13">
        <v>0</v>
      </c>
      <c r="M567" s="13">
        <v>-4</v>
      </c>
      <c r="N567" s="13">
        <v>-4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-10</v>
      </c>
    </row>
    <row r="568" spans="1:45" ht="23" customHeight="1">
      <c r="A568" s="13" t="s">
        <v>1212</v>
      </c>
      <c r="B568" s="13" t="s">
        <v>1213</v>
      </c>
      <c r="C568" s="13"/>
      <c r="D568" s="13">
        <v>0</v>
      </c>
      <c r="E568" s="13">
        <v>2</v>
      </c>
      <c r="F568" s="13">
        <v>3</v>
      </c>
      <c r="G568" s="13">
        <v>0</v>
      </c>
      <c r="H568" s="13">
        <v>-1</v>
      </c>
      <c r="I568" s="13">
        <v>-8</v>
      </c>
      <c r="J568" s="13">
        <v>1</v>
      </c>
      <c r="K568" s="13">
        <v>2</v>
      </c>
      <c r="L568" s="13">
        <v>0</v>
      </c>
      <c r="M568" s="13">
        <v>-1</v>
      </c>
      <c r="N568" s="13">
        <v>-3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1</v>
      </c>
      <c r="AP568" s="13">
        <v>0</v>
      </c>
      <c r="AQ568" s="13">
        <v>-1</v>
      </c>
      <c r="AR568" s="13">
        <v>0</v>
      </c>
      <c r="AS568" s="13">
        <v>-3</v>
      </c>
    </row>
    <row r="569" spans="1:45" ht="23" customHeight="1">
      <c r="A569" s="13" t="s">
        <v>1215</v>
      </c>
      <c r="B569" s="13" t="s">
        <v>1216</v>
      </c>
      <c r="C569" s="13" t="s">
        <v>2201</v>
      </c>
      <c r="D569" s="13">
        <v>16</v>
      </c>
      <c r="E569" s="13">
        <v>5</v>
      </c>
      <c r="F569" s="13">
        <v>4</v>
      </c>
      <c r="G569" s="13">
        <v>0</v>
      </c>
      <c r="H569" s="14">
        <v>1</v>
      </c>
      <c r="I569" s="13">
        <v>-16</v>
      </c>
      <c r="J569" s="13">
        <v>5</v>
      </c>
      <c r="K569" s="13">
        <v>4</v>
      </c>
      <c r="L569" s="13">
        <v>0</v>
      </c>
      <c r="M569" s="14">
        <v>1</v>
      </c>
      <c r="N569" s="13">
        <v>-6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4">
        <v>2</v>
      </c>
    </row>
    <row r="570" spans="1:45" ht="23" customHeight="1">
      <c r="A570" s="13" t="s">
        <v>1217</v>
      </c>
      <c r="B570" s="13" t="s">
        <v>1218</v>
      </c>
      <c r="C570" s="13"/>
      <c r="D570" s="13">
        <v>0</v>
      </c>
      <c r="E570" s="13">
        <v>1</v>
      </c>
      <c r="F570" s="13">
        <v>2</v>
      </c>
      <c r="G570" s="13">
        <v>0</v>
      </c>
      <c r="H570" s="13">
        <v>-1</v>
      </c>
      <c r="I570" s="13">
        <v>-2</v>
      </c>
      <c r="J570" s="13">
        <v>1</v>
      </c>
      <c r="K570" s="13">
        <v>5</v>
      </c>
      <c r="L570" s="13">
        <v>0</v>
      </c>
      <c r="M570" s="13">
        <v>-4</v>
      </c>
      <c r="N570" s="13">
        <v>-9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-4</v>
      </c>
    </row>
    <row r="571" spans="1:45" ht="34" customHeight="1">
      <c r="A571" s="13" t="s">
        <v>1220</v>
      </c>
      <c r="B571" s="13" t="s">
        <v>1221</v>
      </c>
      <c r="C571" s="13"/>
      <c r="D571" s="13">
        <v>0</v>
      </c>
      <c r="E571" s="13">
        <v>5</v>
      </c>
      <c r="F571" s="13">
        <v>5</v>
      </c>
      <c r="G571" s="13">
        <v>0</v>
      </c>
      <c r="H571" s="13">
        <v>0</v>
      </c>
      <c r="I571" s="13">
        <v>-8</v>
      </c>
      <c r="J571" s="13">
        <v>1</v>
      </c>
      <c r="K571" s="13">
        <v>29</v>
      </c>
      <c r="L571" s="13">
        <v>0</v>
      </c>
      <c r="M571" s="13">
        <v>-28</v>
      </c>
      <c r="N571" s="13">
        <v>-33</v>
      </c>
      <c r="O571" s="13">
        <v>0</v>
      </c>
      <c r="P571" s="13">
        <v>1</v>
      </c>
      <c r="Q571" s="13">
        <v>0</v>
      </c>
      <c r="R571" s="13">
        <v>-1</v>
      </c>
      <c r="S571" s="13">
        <v>-4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-2</v>
      </c>
      <c r="AS571" s="13">
        <v>-29</v>
      </c>
    </row>
    <row r="572" spans="1:45" ht="23" customHeight="1">
      <c r="A572" s="13" t="s">
        <v>1222</v>
      </c>
      <c r="B572" s="13" t="s">
        <v>1223</v>
      </c>
      <c r="C572" s="13" t="s">
        <v>2202</v>
      </c>
      <c r="D572" s="13">
        <v>0</v>
      </c>
      <c r="E572" s="13">
        <v>1</v>
      </c>
      <c r="F572" s="13">
        <v>3</v>
      </c>
      <c r="G572" s="13">
        <v>0</v>
      </c>
      <c r="H572" s="13">
        <v>-2</v>
      </c>
      <c r="I572" s="13">
        <v>-1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-2</v>
      </c>
    </row>
    <row r="573" spans="1:45" ht="34" customHeight="1">
      <c r="A573" s="13" t="s">
        <v>1224</v>
      </c>
      <c r="B573" s="13" t="s">
        <v>1225</v>
      </c>
      <c r="C573" s="13"/>
      <c r="D573" s="13">
        <v>0</v>
      </c>
      <c r="E573" s="13">
        <v>1</v>
      </c>
      <c r="F573" s="13">
        <v>2</v>
      </c>
      <c r="G573" s="13">
        <v>0</v>
      </c>
      <c r="H573" s="13">
        <v>-1</v>
      </c>
      <c r="I573" s="13">
        <v>-1</v>
      </c>
      <c r="J573" s="13">
        <v>1</v>
      </c>
      <c r="K573" s="13">
        <v>1</v>
      </c>
      <c r="L573" s="13">
        <v>0</v>
      </c>
      <c r="M573" s="13">
        <v>0</v>
      </c>
      <c r="N573" s="13">
        <v>-2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-1</v>
      </c>
    </row>
    <row r="574" spans="1:45" ht="23" customHeight="1">
      <c r="A574" s="13" t="s">
        <v>1226</v>
      </c>
      <c r="B574" s="13" t="s">
        <v>1227</v>
      </c>
      <c r="C574" s="13" t="s">
        <v>2203</v>
      </c>
      <c r="D574" s="13">
        <v>0</v>
      </c>
      <c r="E574" s="13">
        <v>2</v>
      </c>
      <c r="F574" s="13">
        <v>3</v>
      </c>
      <c r="G574" s="13">
        <v>0</v>
      </c>
      <c r="H574" s="13">
        <v>-1</v>
      </c>
      <c r="I574" s="13">
        <v>-6</v>
      </c>
      <c r="J574" s="13">
        <v>2</v>
      </c>
      <c r="K574" s="13">
        <v>2</v>
      </c>
      <c r="L574" s="13">
        <v>0</v>
      </c>
      <c r="M574" s="13">
        <v>0</v>
      </c>
      <c r="N574" s="13">
        <v>-5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-1</v>
      </c>
    </row>
    <row r="575" spans="1:45" ht="23" customHeight="1">
      <c r="A575" s="13" t="s">
        <v>1228</v>
      </c>
      <c r="B575" s="13" t="s">
        <v>1223</v>
      </c>
      <c r="C575" s="13" t="s">
        <v>2204</v>
      </c>
      <c r="D575" s="13">
        <v>0</v>
      </c>
      <c r="E575" s="13">
        <v>2</v>
      </c>
      <c r="F575" s="13">
        <v>6</v>
      </c>
      <c r="G575" s="13">
        <v>0</v>
      </c>
      <c r="H575" s="13">
        <v>-4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-1</v>
      </c>
    </row>
    <row r="576" spans="1:45" ht="34" customHeight="1">
      <c r="A576" s="13" t="s">
        <v>1229</v>
      </c>
      <c r="B576" s="13" t="s">
        <v>1230</v>
      </c>
      <c r="C576" s="13"/>
      <c r="D576" s="13">
        <v>0</v>
      </c>
      <c r="E576" s="13">
        <v>0</v>
      </c>
      <c r="F576" s="13">
        <v>2</v>
      </c>
      <c r="G576" s="13">
        <v>0</v>
      </c>
      <c r="H576" s="13">
        <v>-2</v>
      </c>
      <c r="I576" s="13">
        <v>0</v>
      </c>
      <c r="J576" s="13">
        <v>1</v>
      </c>
      <c r="K576" s="13">
        <v>6</v>
      </c>
      <c r="L576" s="13">
        <v>0</v>
      </c>
      <c r="M576" s="13">
        <v>-5</v>
      </c>
      <c r="N576" s="13">
        <v>-2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-7</v>
      </c>
    </row>
    <row r="577" spans="1:45" ht="23" customHeight="1">
      <c r="A577" s="13" t="s">
        <v>1231</v>
      </c>
      <c r="B577" s="13" t="s">
        <v>1232</v>
      </c>
      <c r="C577" s="13"/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1</v>
      </c>
      <c r="K577" s="13">
        <v>1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</row>
    <row r="578" spans="1:45" ht="34" customHeight="1">
      <c r="A578" s="13" t="s">
        <v>1233</v>
      </c>
      <c r="B578" s="13" t="s">
        <v>1234</v>
      </c>
      <c r="C578" s="13"/>
      <c r="D578" s="13">
        <v>0</v>
      </c>
      <c r="E578" s="13">
        <v>0</v>
      </c>
      <c r="F578" s="13">
        <v>1</v>
      </c>
      <c r="G578" s="13">
        <v>0</v>
      </c>
      <c r="H578" s="13">
        <v>-1</v>
      </c>
      <c r="I578" s="13">
        <v>0</v>
      </c>
      <c r="J578" s="13">
        <v>1</v>
      </c>
      <c r="K578" s="13">
        <v>1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-1</v>
      </c>
    </row>
    <row r="579" spans="1:45" ht="34" customHeight="1">
      <c r="A579" s="13" t="s">
        <v>1236</v>
      </c>
      <c r="B579" s="13" t="s">
        <v>1237</v>
      </c>
      <c r="C579" s="13" t="s">
        <v>2205</v>
      </c>
      <c r="D579" s="13">
        <v>0</v>
      </c>
      <c r="E579" s="13">
        <v>1</v>
      </c>
      <c r="F579" s="13">
        <v>2</v>
      </c>
      <c r="G579" s="13">
        <v>0</v>
      </c>
      <c r="H579" s="13">
        <v>-1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-1</v>
      </c>
    </row>
    <row r="580" spans="1:45" ht="23" customHeight="1">
      <c r="A580" s="13" t="s">
        <v>1239</v>
      </c>
      <c r="B580" s="13" t="s">
        <v>1240</v>
      </c>
      <c r="C580" s="13" t="s">
        <v>2206</v>
      </c>
      <c r="D580" s="13">
        <v>0</v>
      </c>
      <c r="E580" s="13">
        <v>1</v>
      </c>
      <c r="F580" s="13">
        <v>2</v>
      </c>
      <c r="G580" s="13">
        <v>0</v>
      </c>
      <c r="H580" s="13">
        <v>-1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-1</v>
      </c>
    </row>
    <row r="581" spans="1:45" ht="23" customHeight="1">
      <c r="A581" s="13" t="s">
        <v>1241</v>
      </c>
      <c r="B581" s="13" t="s">
        <v>1242</v>
      </c>
      <c r="C581" s="13" t="s">
        <v>2207</v>
      </c>
      <c r="D581" s="13">
        <v>0</v>
      </c>
      <c r="E581" s="13">
        <v>0</v>
      </c>
      <c r="F581" s="13">
        <v>2</v>
      </c>
      <c r="G581" s="13">
        <v>0</v>
      </c>
      <c r="H581" s="13">
        <v>-2</v>
      </c>
      <c r="I581" s="13">
        <v>-1</v>
      </c>
      <c r="J581" s="13">
        <v>1</v>
      </c>
      <c r="K581" s="13">
        <v>1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-2</v>
      </c>
    </row>
    <row r="582" spans="1:45" ht="23" customHeight="1">
      <c r="A582" s="13" t="s">
        <v>1244</v>
      </c>
      <c r="B582" s="13" t="s">
        <v>1245</v>
      </c>
      <c r="C582" s="13"/>
      <c r="D582" s="13">
        <v>0</v>
      </c>
      <c r="E582" s="13">
        <v>0</v>
      </c>
      <c r="F582" s="13">
        <v>2</v>
      </c>
      <c r="G582" s="13">
        <v>0</v>
      </c>
      <c r="H582" s="13">
        <v>-2</v>
      </c>
      <c r="I582" s="13">
        <v>-4</v>
      </c>
      <c r="J582" s="13">
        <v>1</v>
      </c>
      <c r="K582" s="13">
        <v>2</v>
      </c>
      <c r="L582" s="13">
        <v>0</v>
      </c>
      <c r="M582" s="13">
        <v>-1</v>
      </c>
      <c r="N582" s="13">
        <v>-3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-2</v>
      </c>
    </row>
    <row r="583" spans="1:45" ht="23" customHeight="1">
      <c r="A583" s="13" t="s">
        <v>1246</v>
      </c>
      <c r="B583" s="13" t="s">
        <v>1247</v>
      </c>
      <c r="C583" s="13"/>
      <c r="D583" s="13">
        <v>0</v>
      </c>
      <c r="E583" s="13">
        <v>1</v>
      </c>
      <c r="F583" s="13">
        <v>3</v>
      </c>
      <c r="G583" s="13">
        <v>0</v>
      </c>
      <c r="H583" s="13">
        <v>-2</v>
      </c>
      <c r="I583" s="13">
        <v>-4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-1</v>
      </c>
    </row>
    <row r="584" spans="1:45" ht="23" customHeight="1">
      <c r="A584" s="13" t="s">
        <v>1248</v>
      </c>
      <c r="B584" s="13" t="s">
        <v>305</v>
      </c>
      <c r="C584" s="13" t="s">
        <v>2208</v>
      </c>
      <c r="D584" s="13">
        <v>0</v>
      </c>
      <c r="E584" s="13">
        <v>1</v>
      </c>
      <c r="F584" s="13">
        <v>10</v>
      </c>
      <c r="G584" s="13">
        <v>0</v>
      </c>
      <c r="H584" s="13">
        <v>-9</v>
      </c>
      <c r="I584" s="13">
        <v>-7</v>
      </c>
      <c r="J584" s="13">
        <v>1</v>
      </c>
      <c r="K584" s="13">
        <v>3</v>
      </c>
      <c r="L584" s="13">
        <v>0</v>
      </c>
      <c r="M584" s="13">
        <v>-2</v>
      </c>
      <c r="N584" s="13">
        <v>-5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-8</v>
      </c>
    </row>
    <row r="585" spans="1:45" ht="23" customHeight="1">
      <c r="A585" s="13" t="s">
        <v>1250</v>
      </c>
      <c r="B585" s="13" t="s">
        <v>1251</v>
      </c>
      <c r="C585" s="13"/>
      <c r="D585" s="13">
        <v>0</v>
      </c>
      <c r="E585" s="13">
        <v>1</v>
      </c>
      <c r="F585" s="13">
        <v>2</v>
      </c>
      <c r="G585" s="13">
        <v>0</v>
      </c>
      <c r="H585" s="13">
        <v>-1</v>
      </c>
      <c r="I585" s="13">
        <v>-1</v>
      </c>
      <c r="J585" s="13">
        <v>1</v>
      </c>
      <c r="K585" s="13">
        <v>1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-1</v>
      </c>
    </row>
    <row r="586" spans="1:45" ht="34" customHeight="1">
      <c r="A586" s="13" t="s">
        <v>1252</v>
      </c>
      <c r="B586" s="13" t="s">
        <v>1253</v>
      </c>
      <c r="C586" s="13" t="s">
        <v>2209</v>
      </c>
      <c r="D586" s="13">
        <v>1</v>
      </c>
      <c r="E586" s="13">
        <v>1</v>
      </c>
      <c r="F586" s="13">
        <v>1</v>
      </c>
      <c r="G586" s="13">
        <v>0</v>
      </c>
      <c r="H586" s="13">
        <v>0</v>
      </c>
      <c r="I586" s="13">
        <v>-7</v>
      </c>
      <c r="J586" s="13">
        <v>1</v>
      </c>
      <c r="K586" s="13">
        <v>2</v>
      </c>
      <c r="L586" s="13">
        <v>0</v>
      </c>
      <c r="M586" s="13">
        <v>-1</v>
      </c>
      <c r="N586" s="13">
        <v>-2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-1</v>
      </c>
    </row>
    <row r="587" spans="1:45" ht="20" customHeight="1">
      <c r="A587" s="13" t="s">
        <v>1254</v>
      </c>
      <c r="B587" s="13" t="s">
        <v>1255</v>
      </c>
      <c r="C587" s="13"/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1</v>
      </c>
      <c r="K587" s="13">
        <v>1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</row>
    <row r="588" spans="1:45" ht="69" customHeight="1">
      <c r="A588" s="13" t="s">
        <v>1256</v>
      </c>
      <c r="B588" s="13" t="s">
        <v>1257</v>
      </c>
      <c r="C588" s="13" t="s">
        <v>2210</v>
      </c>
      <c r="D588" s="13">
        <v>14</v>
      </c>
      <c r="E588" s="13">
        <v>2</v>
      </c>
      <c r="F588" s="13">
        <v>2</v>
      </c>
      <c r="G588" s="13">
        <v>0</v>
      </c>
      <c r="H588" s="13">
        <v>0</v>
      </c>
      <c r="I588" s="13">
        <v>-7</v>
      </c>
      <c r="J588" s="13">
        <v>2</v>
      </c>
      <c r="K588" s="13">
        <v>1</v>
      </c>
      <c r="L588" s="13">
        <v>0</v>
      </c>
      <c r="M588" s="14">
        <v>1</v>
      </c>
      <c r="N588" s="13">
        <v>-16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-1</v>
      </c>
      <c r="AS588" s="14">
        <v>1</v>
      </c>
    </row>
    <row r="589" spans="1:45" ht="23" customHeight="1">
      <c r="A589" s="13" t="s">
        <v>1258</v>
      </c>
      <c r="B589" s="13" t="s">
        <v>1259</v>
      </c>
      <c r="C589" s="13" t="s">
        <v>2211</v>
      </c>
      <c r="D589" s="13">
        <v>0</v>
      </c>
      <c r="E589" s="13">
        <v>1</v>
      </c>
      <c r="F589" s="13">
        <v>1</v>
      </c>
      <c r="G589" s="13">
        <v>0</v>
      </c>
      <c r="H589" s="13">
        <v>0</v>
      </c>
      <c r="I589" s="13">
        <v>0</v>
      </c>
      <c r="J589" s="13">
        <v>1</v>
      </c>
      <c r="K589" s="13">
        <v>3</v>
      </c>
      <c r="L589" s="13">
        <v>0</v>
      </c>
      <c r="M589" s="13">
        <v>-2</v>
      </c>
      <c r="N589" s="13">
        <v>-1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-2</v>
      </c>
    </row>
    <row r="590" spans="1:45" ht="34" customHeight="1">
      <c r="A590" s="13" t="s">
        <v>1260</v>
      </c>
      <c r="B590" s="13" t="s">
        <v>1261</v>
      </c>
      <c r="C590" s="13" t="s">
        <v>2212</v>
      </c>
      <c r="D590" s="13">
        <v>0</v>
      </c>
      <c r="E590" s="13">
        <v>1</v>
      </c>
      <c r="F590" s="13">
        <v>1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</row>
    <row r="591" spans="1:45" ht="23" customHeight="1">
      <c r="A591" s="13" t="s">
        <v>1262</v>
      </c>
      <c r="B591" s="13" t="s">
        <v>1263</v>
      </c>
      <c r="C591" s="13" t="s">
        <v>2213</v>
      </c>
      <c r="D591" s="13">
        <v>0</v>
      </c>
      <c r="E591" s="13">
        <v>1</v>
      </c>
      <c r="F591" s="13">
        <v>2</v>
      </c>
      <c r="G591" s="13">
        <v>0</v>
      </c>
      <c r="H591" s="13">
        <v>-1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</row>
    <row r="592" spans="1:45" ht="34" customHeight="1">
      <c r="A592" s="13" t="s">
        <v>1264</v>
      </c>
      <c r="B592" s="13" t="s">
        <v>1265</v>
      </c>
      <c r="C592" s="13" t="s">
        <v>2214</v>
      </c>
      <c r="D592" s="13">
        <v>0</v>
      </c>
      <c r="E592" s="13">
        <v>1</v>
      </c>
      <c r="F592" s="13">
        <v>3</v>
      </c>
      <c r="G592" s="13">
        <v>0</v>
      </c>
      <c r="H592" s="13">
        <v>-2</v>
      </c>
      <c r="I592" s="13">
        <v>-3</v>
      </c>
      <c r="J592" s="13">
        <v>1</v>
      </c>
      <c r="K592" s="13">
        <v>1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-2</v>
      </c>
    </row>
    <row r="593" spans="1:45" ht="23" customHeight="1">
      <c r="A593" s="13" t="s">
        <v>1266</v>
      </c>
      <c r="B593" s="13" t="s">
        <v>1015</v>
      </c>
      <c r="C593" s="13"/>
      <c r="D593" s="13">
        <v>0</v>
      </c>
      <c r="E593" s="13">
        <v>1</v>
      </c>
      <c r="F593" s="13">
        <v>5</v>
      </c>
      <c r="G593" s="13">
        <v>0</v>
      </c>
      <c r="H593" s="13">
        <v>-4</v>
      </c>
      <c r="I593" s="13">
        <v>-7</v>
      </c>
      <c r="J593" s="13">
        <v>2</v>
      </c>
      <c r="K593" s="13">
        <v>4</v>
      </c>
      <c r="L593" s="13">
        <v>0</v>
      </c>
      <c r="M593" s="13">
        <v>-2</v>
      </c>
      <c r="N593" s="13">
        <v>-5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-6</v>
      </c>
    </row>
    <row r="594" spans="1:45" ht="23" customHeight="1">
      <c r="A594" s="13" t="s">
        <v>1267</v>
      </c>
      <c r="B594" s="13" t="s">
        <v>835</v>
      </c>
      <c r="C594" s="13"/>
      <c r="D594" s="13">
        <v>0</v>
      </c>
      <c r="E594" s="13">
        <v>1</v>
      </c>
      <c r="F594" s="13">
        <v>3</v>
      </c>
      <c r="G594" s="13">
        <v>0</v>
      </c>
      <c r="H594" s="13">
        <v>-2</v>
      </c>
      <c r="I594" s="13">
        <v>0</v>
      </c>
      <c r="J594" s="13">
        <v>1</v>
      </c>
      <c r="K594" s="13">
        <v>1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-1</v>
      </c>
    </row>
    <row r="595" spans="1:45" ht="34" customHeight="1">
      <c r="A595" s="13" t="s">
        <v>1268</v>
      </c>
      <c r="B595" s="13" t="s">
        <v>1269</v>
      </c>
      <c r="C595" s="13" t="s">
        <v>2215</v>
      </c>
      <c r="D595" s="13">
        <v>1</v>
      </c>
      <c r="E595" s="13">
        <v>0</v>
      </c>
      <c r="F595" s="13">
        <v>0</v>
      </c>
      <c r="G595" s="13">
        <v>0</v>
      </c>
      <c r="H595" s="13">
        <v>0</v>
      </c>
      <c r="I595" s="13">
        <v>-2</v>
      </c>
      <c r="J595" s="13">
        <v>1</v>
      </c>
      <c r="K595" s="13">
        <v>1</v>
      </c>
      <c r="L595" s="13">
        <v>0</v>
      </c>
      <c r="M595" s="13">
        <v>0</v>
      </c>
      <c r="N595" s="13">
        <v>-1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</row>
    <row r="596" spans="1:45" ht="23" customHeight="1">
      <c r="A596" s="13" t="s">
        <v>1270</v>
      </c>
      <c r="B596" s="13" t="s">
        <v>1175</v>
      </c>
      <c r="C596" s="13"/>
      <c r="D596" s="13">
        <v>0</v>
      </c>
      <c r="E596" s="13">
        <v>1</v>
      </c>
      <c r="F596" s="13">
        <v>1</v>
      </c>
      <c r="G596" s="13">
        <v>0</v>
      </c>
      <c r="H596" s="13">
        <v>0</v>
      </c>
      <c r="I596" s="13">
        <v>0</v>
      </c>
      <c r="J596" s="13">
        <v>0</v>
      </c>
      <c r="K596" s="13">
        <v>1</v>
      </c>
      <c r="L596" s="13">
        <v>0</v>
      </c>
      <c r="M596" s="13">
        <v>-1</v>
      </c>
      <c r="N596" s="13">
        <v>-1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-1</v>
      </c>
    </row>
    <row r="597" spans="1:45" ht="23" customHeight="1">
      <c r="A597" s="13" t="s">
        <v>1271</v>
      </c>
      <c r="B597" s="13" t="s">
        <v>375</v>
      </c>
      <c r="C597" s="13"/>
      <c r="D597" s="13">
        <v>0</v>
      </c>
      <c r="E597" s="13">
        <v>1</v>
      </c>
      <c r="F597" s="13">
        <v>2</v>
      </c>
      <c r="G597" s="13">
        <v>0</v>
      </c>
      <c r="H597" s="13">
        <v>-1</v>
      </c>
      <c r="I597" s="13">
        <v>0</v>
      </c>
      <c r="J597" s="13">
        <v>1</v>
      </c>
      <c r="K597" s="13">
        <v>1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</row>
    <row r="598" spans="1:45" ht="23" customHeight="1">
      <c r="A598" s="13" t="s">
        <v>1272</v>
      </c>
      <c r="B598" s="13" t="s">
        <v>1273</v>
      </c>
      <c r="C598" s="13"/>
      <c r="D598" s="13">
        <v>0</v>
      </c>
      <c r="E598" s="13">
        <v>0</v>
      </c>
      <c r="F598" s="13">
        <v>1</v>
      </c>
      <c r="G598" s="13">
        <v>0</v>
      </c>
      <c r="H598" s="13">
        <v>-1</v>
      </c>
      <c r="I598" s="13">
        <v>-1</v>
      </c>
      <c r="J598" s="13">
        <v>1</v>
      </c>
      <c r="K598" s="13">
        <v>1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-1</v>
      </c>
    </row>
    <row r="599" spans="1:45" ht="23" customHeight="1">
      <c r="A599" s="13" t="s">
        <v>1274</v>
      </c>
      <c r="B599" s="13" t="s">
        <v>1275</v>
      </c>
      <c r="C599" s="13"/>
      <c r="D599" s="13">
        <v>0</v>
      </c>
      <c r="E599" s="13">
        <v>1</v>
      </c>
      <c r="F599" s="13">
        <v>1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</row>
    <row r="600" spans="1:45" ht="23" customHeight="1">
      <c r="A600" s="13" t="s">
        <v>1276</v>
      </c>
      <c r="B600" s="13" t="s">
        <v>1277</v>
      </c>
      <c r="C600" s="13" t="s">
        <v>2216</v>
      </c>
      <c r="D600" s="13">
        <v>0</v>
      </c>
      <c r="E600" s="13">
        <v>0</v>
      </c>
      <c r="F600" s="13">
        <v>2</v>
      </c>
      <c r="G600" s="13">
        <v>0</v>
      </c>
      <c r="H600" s="13">
        <v>-2</v>
      </c>
      <c r="I600" s="13">
        <v>0</v>
      </c>
      <c r="J600" s="13">
        <v>1</v>
      </c>
      <c r="K600" s="13">
        <v>3</v>
      </c>
      <c r="L600" s="13">
        <v>0</v>
      </c>
      <c r="M600" s="13">
        <v>-2</v>
      </c>
      <c r="N600" s="13">
        <v>-2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-4</v>
      </c>
    </row>
    <row r="601" spans="1:45" ht="34" customHeight="1">
      <c r="A601" s="13" t="s">
        <v>1278</v>
      </c>
      <c r="B601" s="13" t="s">
        <v>1279</v>
      </c>
      <c r="C601" s="13"/>
      <c r="D601" s="13">
        <v>0</v>
      </c>
      <c r="E601" s="13">
        <v>1</v>
      </c>
      <c r="F601" s="13">
        <v>0</v>
      </c>
      <c r="G601" s="13">
        <v>0</v>
      </c>
      <c r="H601" s="14">
        <v>1</v>
      </c>
      <c r="I601" s="13">
        <v>0</v>
      </c>
      <c r="J601" s="13">
        <v>1</v>
      </c>
      <c r="K601" s="13">
        <v>1</v>
      </c>
      <c r="L601" s="13">
        <v>0</v>
      </c>
      <c r="M601" s="13">
        <v>0</v>
      </c>
      <c r="N601" s="13">
        <v>-4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4">
        <v>1</v>
      </c>
    </row>
    <row r="602" spans="1:45" ht="23" customHeight="1">
      <c r="A602" s="13" t="s">
        <v>1280</v>
      </c>
      <c r="B602" s="13" t="s">
        <v>1281</v>
      </c>
      <c r="C602" s="13" t="s">
        <v>2217</v>
      </c>
      <c r="D602" s="13">
        <v>0</v>
      </c>
      <c r="E602" s="13">
        <v>1</v>
      </c>
      <c r="F602" s="13">
        <v>1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</row>
    <row r="603" spans="1:45" ht="23" customHeight="1">
      <c r="A603" s="13" t="s">
        <v>1282</v>
      </c>
      <c r="B603" s="13" t="s">
        <v>1283</v>
      </c>
      <c r="C603" s="13" t="s">
        <v>2218</v>
      </c>
      <c r="D603" s="13">
        <v>0</v>
      </c>
      <c r="E603" s="13">
        <v>1</v>
      </c>
      <c r="F603" s="13">
        <v>1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</row>
    <row r="604" spans="1:45" ht="23" customHeight="1">
      <c r="A604" s="13" t="s">
        <v>1284</v>
      </c>
      <c r="B604" s="13" t="s">
        <v>1136</v>
      </c>
      <c r="C604" s="13"/>
      <c r="D604" s="13">
        <v>0</v>
      </c>
      <c r="E604" s="13">
        <v>1</v>
      </c>
      <c r="F604" s="13">
        <v>1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</row>
    <row r="605" spans="1:45" ht="46" customHeight="1">
      <c r="A605" s="13" t="s">
        <v>1285</v>
      </c>
      <c r="B605" s="13" t="s">
        <v>1286</v>
      </c>
      <c r="C605" s="13" t="s">
        <v>2219</v>
      </c>
      <c r="D605" s="13">
        <v>0</v>
      </c>
      <c r="E605" s="13">
        <v>1</v>
      </c>
      <c r="F605" s="13">
        <v>2</v>
      </c>
      <c r="G605" s="13">
        <v>0</v>
      </c>
      <c r="H605" s="13">
        <v>-1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</row>
    <row r="606" spans="1:45" ht="46" customHeight="1">
      <c r="A606" s="13" t="s">
        <v>1287</v>
      </c>
      <c r="B606" s="13" t="s">
        <v>1286</v>
      </c>
      <c r="C606" s="13"/>
      <c r="D606" s="13">
        <v>0</v>
      </c>
      <c r="E606" s="13">
        <v>0</v>
      </c>
      <c r="F606" s="13">
        <v>4</v>
      </c>
      <c r="G606" s="13">
        <v>0</v>
      </c>
      <c r="H606" s="13">
        <v>-4</v>
      </c>
      <c r="I606" s="13">
        <v>-2</v>
      </c>
      <c r="J606" s="13">
        <v>1</v>
      </c>
      <c r="K606" s="13">
        <v>1</v>
      </c>
      <c r="L606" s="13">
        <v>0</v>
      </c>
      <c r="M606" s="13">
        <v>0</v>
      </c>
      <c r="N606" s="13">
        <v>-1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-4</v>
      </c>
    </row>
    <row r="607" spans="1:45" ht="34" customHeight="1">
      <c r="A607" s="13" t="s">
        <v>1288</v>
      </c>
      <c r="B607" s="13" t="s">
        <v>889</v>
      </c>
      <c r="C607" s="13" t="s">
        <v>2220</v>
      </c>
      <c r="D607" s="13">
        <v>0</v>
      </c>
      <c r="E607" s="13">
        <v>5</v>
      </c>
      <c r="F607" s="13">
        <v>24</v>
      </c>
      <c r="G607" s="13">
        <v>0</v>
      </c>
      <c r="H607" s="13">
        <v>-19</v>
      </c>
      <c r="I607" s="13">
        <v>-39</v>
      </c>
      <c r="J607" s="13">
        <v>6</v>
      </c>
      <c r="K607" s="13">
        <v>9</v>
      </c>
      <c r="L607" s="13">
        <v>0</v>
      </c>
      <c r="M607" s="13">
        <v>-3</v>
      </c>
      <c r="N607" s="13">
        <v>-31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-22</v>
      </c>
    </row>
    <row r="608" spans="1:45" ht="23" customHeight="1">
      <c r="A608" s="13" t="s">
        <v>1289</v>
      </c>
      <c r="B608" s="13" t="s">
        <v>749</v>
      </c>
      <c r="C608" s="13"/>
      <c r="D608" s="13">
        <v>0</v>
      </c>
      <c r="E608" s="13">
        <v>0</v>
      </c>
      <c r="F608" s="13">
        <v>1</v>
      </c>
      <c r="G608" s="13">
        <v>0</v>
      </c>
      <c r="H608" s="13">
        <v>-1</v>
      </c>
      <c r="I608" s="13">
        <v>0</v>
      </c>
      <c r="J608" s="13">
        <v>1</v>
      </c>
      <c r="K608" s="13">
        <v>1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-1</v>
      </c>
    </row>
    <row r="609" spans="1:45" ht="20" customHeight="1">
      <c r="A609" s="13" t="s">
        <v>1291</v>
      </c>
      <c r="B609" s="13" t="s">
        <v>512</v>
      </c>
      <c r="C609" s="13" t="s">
        <v>2221</v>
      </c>
      <c r="D609" s="13">
        <v>0</v>
      </c>
      <c r="E609" s="13">
        <v>1</v>
      </c>
      <c r="F609" s="13">
        <v>1</v>
      </c>
      <c r="G609" s="13">
        <v>0</v>
      </c>
      <c r="H609" s="13">
        <v>0</v>
      </c>
      <c r="I609" s="13">
        <v>-2</v>
      </c>
      <c r="J609" s="13">
        <v>0</v>
      </c>
      <c r="K609" s="13">
        <v>1</v>
      </c>
      <c r="L609" s="13">
        <v>0</v>
      </c>
      <c r="M609" s="13">
        <v>-1</v>
      </c>
      <c r="N609" s="13">
        <v>-2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-1</v>
      </c>
    </row>
    <row r="610" spans="1:45" ht="46" customHeight="1">
      <c r="A610" s="13" t="s">
        <v>1292</v>
      </c>
      <c r="B610" s="13" t="s">
        <v>1293</v>
      </c>
      <c r="C610" s="13" t="s">
        <v>2222</v>
      </c>
      <c r="D610" s="13">
        <v>0</v>
      </c>
      <c r="E610" s="13">
        <v>2</v>
      </c>
      <c r="F610" s="13">
        <v>5</v>
      </c>
      <c r="G610" s="13">
        <v>0</v>
      </c>
      <c r="H610" s="13">
        <v>-3</v>
      </c>
      <c r="I610" s="13">
        <v>-5</v>
      </c>
      <c r="J610" s="13">
        <v>2</v>
      </c>
      <c r="K610" s="13">
        <v>3</v>
      </c>
      <c r="L610" s="13">
        <v>0</v>
      </c>
      <c r="M610" s="13">
        <v>-1</v>
      </c>
      <c r="N610" s="13">
        <v>-5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1</v>
      </c>
      <c r="AP610" s="13">
        <v>0</v>
      </c>
      <c r="AQ610" s="13">
        <v>-1</v>
      </c>
      <c r="AR610" s="13">
        <v>0</v>
      </c>
      <c r="AS610" s="13">
        <v>-5</v>
      </c>
    </row>
    <row r="611" spans="1:45" ht="34" customHeight="1">
      <c r="A611" s="13" t="s">
        <v>1294</v>
      </c>
      <c r="B611" s="13" t="s">
        <v>1295</v>
      </c>
      <c r="C611" s="13"/>
      <c r="D611" s="13">
        <v>0</v>
      </c>
      <c r="E611" s="13">
        <v>1</v>
      </c>
      <c r="F611" s="13">
        <v>4</v>
      </c>
      <c r="G611" s="13">
        <v>0</v>
      </c>
      <c r="H611" s="13">
        <v>-3</v>
      </c>
      <c r="I611" s="13">
        <v>0</v>
      </c>
      <c r="J611" s="13">
        <v>1</v>
      </c>
      <c r="K611" s="13">
        <v>1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-3</v>
      </c>
    </row>
    <row r="612" spans="1:45" ht="34" customHeight="1">
      <c r="A612" s="13" t="s">
        <v>1296</v>
      </c>
      <c r="B612" s="13" t="s">
        <v>1297</v>
      </c>
      <c r="C612" s="13"/>
      <c r="D612" s="13">
        <v>0</v>
      </c>
      <c r="E612" s="13">
        <v>1</v>
      </c>
      <c r="F612" s="13">
        <v>1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</row>
    <row r="613" spans="1:45" ht="20" customHeight="1">
      <c r="A613" s="13" t="s">
        <v>1298</v>
      </c>
      <c r="B613" s="13" t="s">
        <v>1299</v>
      </c>
      <c r="C613" s="13"/>
      <c r="D613" s="13">
        <v>0</v>
      </c>
      <c r="E613" s="13">
        <v>1</v>
      </c>
      <c r="F613" s="13">
        <v>1</v>
      </c>
      <c r="G613" s="13">
        <v>0</v>
      </c>
      <c r="H613" s="13">
        <v>0</v>
      </c>
      <c r="I613" s="13">
        <v>0</v>
      </c>
      <c r="J613" s="13">
        <v>0</v>
      </c>
      <c r="K613" s="13">
        <v>1</v>
      </c>
      <c r="L613" s="13">
        <v>0</v>
      </c>
      <c r="M613" s="13">
        <v>-1</v>
      </c>
      <c r="N613" s="13">
        <v>-1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-1</v>
      </c>
    </row>
    <row r="614" spans="1:45" ht="23" customHeight="1">
      <c r="A614" s="13" t="s">
        <v>1300</v>
      </c>
      <c r="B614" s="13" t="s">
        <v>1301</v>
      </c>
      <c r="C614" s="13" t="s">
        <v>2223</v>
      </c>
      <c r="D614" s="13">
        <v>0</v>
      </c>
      <c r="E614" s="13">
        <v>1</v>
      </c>
      <c r="F614" s="13">
        <v>2</v>
      </c>
      <c r="G614" s="13">
        <v>0</v>
      </c>
      <c r="H614" s="13">
        <v>-1</v>
      </c>
      <c r="I614" s="13">
        <v>0</v>
      </c>
      <c r="J614" s="13">
        <v>0</v>
      </c>
      <c r="K614" s="13">
        <v>1</v>
      </c>
      <c r="L614" s="13">
        <v>0</v>
      </c>
      <c r="M614" s="13">
        <v>-1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-2</v>
      </c>
    </row>
    <row r="615" spans="1:45" ht="23" customHeight="1">
      <c r="A615" s="13" t="s">
        <v>1302</v>
      </c>
      <c r="B615" s="13" t="s">
        <v>1303</v>
      </c>
      <c r="C615" s="13" t="s">
        <v>2224</v>
      </c>
      <c r="D615" s="13">
        <v>0</v>
      </c>
      <c r="E615" s="13">
        <v>1</v>
      </c>
      <c r="F615" s="13">
        <v>2</v>
      </c>
      <c r="G615" s="13">
        <v>0</v>
      </c>
      <c r="H615" s="13">
        <v>-1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-1</v>
      </c>
    </row>
    <row r="616" spans="1:45" ht="23" customHeight="1">
      <c r="A616" s="13" t="s">
        <v>1304</v>
      </c>
      <c r="B616" s="13" t="s">
        <v>1305</v>
      </c>
      <c r="C616" s="13"/>
      <c r="D616" s="13">
        <v>0</v>
      </c>
      <c r="E616" s="13">
        <v>1</v>
      </c>
      <c r="F616" s="13">
        <v>1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</row>
    <row r="617" spans="1:45" ht="23" customHeight="1">
      <c r="A617" s="13" t="s">
        <v>1307</v>
      </c>
      <c r="B617" s="13" t="s">
        <v>1308</v>
      </c>
      <c r="C617" s="13"/>
      <c r="D617" s="13">
        <v>0</v>
      </c>
      <c r="E617" s="13">
        <v>1</v>
      </c>
      <c r="F617" s="13">
        <v>1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</row>
    <row r="618" spans="1:45" ht="34" customHeight="1">
      <c r="A618" s="13" t="s">
        <v>1310</v>
      </c>
      <c r="B618" s="13" t="s">
        <v>1311</v>
      </c>
      <c r="C618" s="13" t="s">
        <v>2225</v>
      </c>
      <c r="D618" s="13">
        <v>0</v>
      </c>
      <c r="E618" s="13">
        <v>2</v>
      </c>
      <c r="F618" s="13">
        <v>8</v>
      </c>
      <c r="G618" s="13">
        <v>0</v>
      </c>
      <c r="H618" s="13">
        <v>-6</v>
      </c>
      <c r="I618" s="13">
        <v>-11</v>
      </c>
      <c r="J618" s="13">
        <v>2</v>
      </c>
      <c r="K618" s="13">
        <v>2</v>
      </c>
      <c r="L618" s="13">
        <v>0</v>
      </c>
      <c r="M618" s="13">
        <v>0</v>
      </c>
      <c r="N618" s="13">
        <v>-2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-6</v>
      </c>
    </row>
    <row r="619" spans="1:45" ht="20" customHeight="1">
      <c r="A619" s="13" t="s">
        <v>1312</v>
      </c>
      <c r="B619" s="13" t="s">
        <v>1313</v>
      </c>
      <c r="C619" s="13" t="s">
        <v>2226</v>
      </c>
      <c r="D619" s="13">
        <v>0</v>
      </c>
      <c r="E619" s="13">
        <v>1</v>
      </c>
      <c r="F619" s="13">
        <v>1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</row>
    <row r="620" spans="1:45" ht="20" customHeight="1">
      <c r="A620" s="13" t="s">
        <v>1314</v>
      </c>
      <c r="B620" s="13" t="s">
        <v>1313</v>
      </c>
      <c r="C620" s="13"/>
      <c r="D620" s="13">
        <v>0</v>
      </c>
      <c r="E620" s="13">
        <v>1</v>
      </c>
      <c r="F620" s="13">
        <v>1</v>
      </c>
      <c r="G620" s="13">
        <v>0</v>
      </c>
      <c r="H620" s="13">
        <v>0</v>
      </c>
      <c r="I620" s="13">
        <v>0</v>
      </c>
      <c r="J620" s="13">
        <v>1</v>
      </c>
      <c r="K620" s="13">
        <v>0</v>
      </c>
      <c r="L620" s="13">
        <v>0</v>
      </c>
      <c r="M620" s="14">
        <v>1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4">
        <v>1</v>
      </c>
    </row>
    <row r="621" spans="1:45" ht="20" customHeight="1">
      <c r="A621" s="13" t="s">
        <v>1315</v>
      </c>
      <c r="B621" s="13" t="s">
        <v>1316</v>
      </c>
      <c r="C621" s="13"/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1</v>
      </c>
      <c r="K621" s="13">
        <v>1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</row>
    <row r="622" spans="1:45" ht="23" customHeight="1">
      <c r="A622" s="13" t="s">
        <v>1317</v>
      </c>
      <c r="B622" s="13" t="s">
        <v>1318</v>
      </c>
      <c r="C622" s="13" t="s">
        <v>2227</v>
      </c>
      <c r="D622" s="13">
        <v>0</v>
      </c>
      <c r="E622" s="13">
        <v>1</v>
      </c>
      <c r="F622" s="13">
        <v>0</v>
      </c>
      <c r="G622" s="13">
        <v>0</v>
      </c>
      <c r="H622" s="14">
        <v>1</v>
      </c>
      <c r="I622" s="13">
        <v>0</v>
      </c>
      <c r="J622" s="13">
        <v>0</v>
      </c>
      <c r="K622" s="13">
        <v>1</v>
      </c>
      <c r="L622" s="13">
        <v>0</v>
      </c>
      <c r="M622" s="13">
        <v>-1</v>
      </c>
      <c r="N622" s="13">
        <v>-1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</row>
    <row r="623" spans="1:45" ht="34" customHeight="1">
      <c r="A623" s="13" t="s">
        <v>1320</v>
      </c>
      <c r="B623" s="13" t="s">
        <v>1321</v>
      </c>
      <c r="C623" s="13" t="s">
        <v>2228</v>
      </c>
      <c r="D623" s="13">
        <v>0</v>
      </c>
      <c r="E623" s="13">
        <v>1</v>
      </c>
      <c r="F623" s="13">
        <v>1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</row>
    <row r="624" spans="1:45" ht="23" customHeight="1">
      <c r="A624" s="13" t="s">
        <v>1323</v>
      </c>
      <c r="B624" s="13" t="s">
        <v>1324</v>
      </c>
      <c r="C624" s="13"/>
      <c r="D624" s="13">
        <v>0</v>
      </c>
      <c r="E624" s="13">
        <v>2</v>
      </c>
      <c r="F624" s="13">
        <v>0</v>
      </c>
      <c r="G624" s="13">
        <v>0</v>
      </c>
      <c r="H624" s="14">
        <v>2</v>
      </c>
      <c r="I624" s="13">
        <v>-14</v>
      </c>
      <c r="J624" s="13">
        <v>2</v>
      </c>
      <c r="K624" s="13">
        <v>1</v>
      </c>
      <c r="L624" s="13">
        <v>0</v>
      </c>
      <c r="M624" s="14">
        <v>1</v>
      </c>
      <c r="N624" s="13">
        <v>-29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4">
        <v>3</v>
      </c>
    </row>
    <row r="625" spans="1:45" ht="23" customHeight="1">
      <c r="A625" s="13" t="s">
        <v>1326</v>
      </c>
      <c r="B625" s="13" t="s">
        <v>1327</v>
      </c>
      <c r="C625" s="13"/>
      <c r="D625" s="13">
        <v>0</v>
      </c>
      <c r="E625" s="13">
        <v>5</v>
      </c>
      <c r="F625" s="13">
        <v>9</v>
      </c>
      <c r="G625" s="13">
        <v>0</v>
      </c>
      <c r="H625" s="13">
        <v>-4</v>
      </c>
      <c r="I625" s="13">
        <v>-1</v>
      </c>
      <c r="J625" s="13">
        <v>1</v>
      </c>
      <c r="K625" s="13">
        <v>6</v>
      </c>
      <c r="L625" s="13">
        <v>0</v>
      </c>
      <c r="M625" s="13">
        <v>-5</v>
      </c>
      <c r="N625" s="13">
        <v>-10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-6</v>
      </c>
    </row>
    <row r="626" spans="1:45" ht="23" customHeight="1">
      <c r="A626" s="13" t="s">
        <v>1328</v>
      </c>
      <c r="B626" s="13" t="s">
        <v>1329</v>
      </c>
      <c r="C626" s="13"/>
      <c r="D626" s="13">
        <v>0</v>
      </c>
      <c r="E626" s="13">
        <v>5</v>
      </c>
      <c r="F626" s="13">
        <v>1</v>
      </c>
      <c r="G626" s="13">
        <v>0</v>
      </c>
      <c r="H626" s="14">
        <v>4</v>
      </c>
      <c r="I626" s="13">
        <v>-20</v>
      </c>
      <c r="J626" s="13">
        <v>5</v>
      </c>
      <c r="K626" s="13">
        <v>2</v>
      </c>
      <c r="L626" s="13">
        <v>0</v>
      </c>
      <c r="M626" s="14">
        <v>3</v>
      </c>
      <c r="N626" s="13">
        <v>-28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4">
        <v>7</v>
      </c>
    </row>
    <row r="627" spans="1:45" ht="23" customHeight="1">
      <c r="A627" s="13" t="s">
        <v>1331</v>
      </c>
      <c r="B627" s="13" t="s">
        <v>1332</v>
      </c>
      <c r="C627" s="13"/>
      <c r="D627" s="13">
        <v>0</v>
      </c>
      <c r="E627" s="13">
        <v>3</v>
      </c>
      <c r="F627" s="13">
        <v>3</v>
      </c>
      <c r="G627" s="13">
        <v>0</v>
      </c>
      <c r="H627" s="13">
        <v>0</v>
      </c>
      <c r="I627" s="13">
        <v>-7</v>
      </c>
      <c r="J627" s="13">
        <v>3</v>
      </c>
      <c r="K627" s="13">
        <v>4</v>
      </c>
      <c r="L627" s="13">
        <v>0</v>
      </c>
      <c r="M627" s="13">
        <v>-1</v>
      </c>
      <c r="N627" s="13">
        <v>-13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-1</v>
      </c>
    </row>
    <row r="628" spans="1:45" ht="23" customHeight="1">
      <c r="A628" s="13" t="s">
        <v>1333</v>
      </c>
      <c r="B628" s="13" t="s">
        <v>1334</v>
      </c>
      <c r="C628" s="13"/>
      <c r="D628" s="13">
        <v>0</v>
      </c>
      <c r="E628" s="13">
        <v>3</v>
      </c>
      <c r="F628" s="13">
        <v>2</v>
      </c>
      <c r="G628" s="13">
        <v>0</v>
      </c>
      <c r="H628" s="14">
        <v>1</v>
      </c>
      <c r="I628" s="13">
        <v>-4</v>
      </c>
      <c r="J628" s="13">
        <v>3</v>
      </c>
      <c r="K628" s="13">
        <v>4</v>
      </c>
      <c r="L628" s="13">
        <v>0</v>
      </c>
      <c r="M628" s="13">
        <v>-1</v>
      </c>
      <c r="N628" s="13">
        <v>-8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</row>
    <row r="629" spans="1:45" ht="23" customHeight="1">
      <c r="A629" s="13" t="s">
        <v>1335</v>
      </c>
      <c r="B629" s="13" t="s">
        <v>1336</v>
      </c>
      <c r="C629" s="13"/>
      <c r="D629" s="13">
        <v>0</v>
      </c>
      <c r="E629" s="13">
        <v>1</v>
      </c>
      <c r="F629" s="13">
        <v>1</v>
      </c>
      <c r="G629" s="13">
        <v>0</v>
      </c>
      <c r="H629" s="13">
        <v>0</v>
      </c>
      <c r="I629" s="13">
        <v>-3</v>
      </c>
      <c r="J629" s="13">
        <v>1</v>
      </c>
      <c r="K629" s="13">
        <v>1</v>
      </c>
      <c r="L629" s="13">
        <v>0</v>
      </c>
      <c r="M629" s="13">
        <v>0</v>
      </c>
      <c r="N629" s="13">
        <v>-8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</row>
    <row r="630" spans="1:45" ht="23" customHeight="1">
      <c r="A630" s="13" t="s">
        <v>1337</v>
      </c>
      <c r="B630" s="13" t="s">
        <v>1338</v>
      </c>
      <c r="C630" s="13"/>
      <c r="D630" s="13">
        <v>0</v>
      </c>
      <c r="E630" s="13">
        <v>1</v>
      </c>
      <c r="F630" s="13">
        <v>1</v>
      </c>
      <c r="G630" s="13">
        <v>0</v>
      </c>
      <c r="H630" s="13">
        <v>0</v>
      </c>
      <c r="I630" s="13">
        <v>-7</v>
      </c>
      <c r="J630" s="13">
        <v>1</v>
      </c>
      <c r="K630" s="13">
        <v>3</v>
      </c>
      <c r="L630" s="13">
        <v>0</v>
      </c>
      <c r="M630" s="13">
        <v>-2</v>
      </c>
      <c r="N630" s="13">
        <v>-9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-2</v>
      </c>
    </row>
    <row r="631" spans="1:45" ht="23" customHeight="1">
      <c r="A631" s="13" t="s">
        <v>1339</v>
      </c>
      <c r="B631" s="13" t="s">
        <v>1340</v>
      </c>
      <c r="C631" s="13"/>
      <c r="D631" s="13">
        <v>0</v>
      </c>
      <c r="E631" s="13">
        <v>2</v>
      </c>
      <c r="F631" s="13">
        <v>1</v>
      </c>
      <c r="G631" s="13">
        <v>0</v>
      </c>
      <c r="H631" s="14">
        <v>1</v>
      </c>
      <c r="I631" s="13">
        <v>-4</v>
      </c>
      <c r="J631" s="13">
        <v>4</v>
      </c>
      <c r="K631" s="13">
        <v>1</v>
      </c>
      <c r="L631" s="13">
        <v>0</v>
      </c>
      <c r="M631" s="14">
        <v>3</v>
      </c>
      <c r="N631" s="13">
        <v>-9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4">
        <v>4</v>
      </c>
    </row>
    <row r="632" spans="1:45" ht="23" customHeight="1">
      <c r="A632" s="13" t="s">
        <v>1341</v>
      </c>
      <c r="B632" s="13" t="s">
        <v>1342</v>
      </c>
      <c r="C632" s="13"/>
      <c r="D632" s="13">
        <v>0</v>
      </c>
      <c r="E632" s="13">
        <v>5</v>
      </c>
      <c r="F632" s="13">
        <v>7</v>
      </c>
      <c r="G632" s="13">
        <v>0</v>
      </c>
      <c r="H632" s="13">
        <v>-2</v>
      </c>
      <c r="I632" s="13">
        <v>0</v>
      </c>
      <c r="J632" s="13">
        <v>1</v>
      </c>
      <c r="K632" s="13">
        <v>9</v>
      </c>
      <c r="L632" s="13">
        <v>0</v>
      </c>
      <c r="M632" s="13">
        <v>-8</v>
      </c>
      <c r="N632" s="13">
        <v>-1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-10</v>
      </c>
    </row>
    <row r="633" spans="1:45" ht="23" customHeight="1">
      <c r="A633" s="13" t="s">
        <v>1343</v>
      </c>
      <c r="B633" s="13" t="s">
        <v>1344</v>
      </c>
      <c r="C633" s="13"/>
      <c r="D633" s="13">
        <v>0</v>
      </c>
      <c r="E633" s="13">
        <v>1</v>
      </c>
      <c r="F633" s="13">
        <v>1</v>
      </c>
      <c r="G633" s="13">
        <v>0</v>
      </c>
      <c r="H633" s="13">
        <v>0</v>
      </c>
      <c r="I633" s="13">
        <v>-1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</row>
    <row r="634" spans="1:45" ht="23" customHeight="1">
      <c r="A634" s="13" t="s">
        <v>1345</v>
      </c>
      <c r="B634" s="13" t="s">
        <v>1346</v>
      </c>
      <c r="C634" s="13" t="s">
        <v>2229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1</v>
      </c>
      <c r="K634" s="13">
        <v>1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</row>
    <row r="635" spans="1:45" ht="20" customHeight="1">
      <c r="A635" s="13" t="s">
        <v>1347</v>
      </c>
      <c r="B635" s="13" t="s">
        <v>902</v>
      </c>
      <c r="C635" s="13"/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1</v>
      </c>
      <c r="K635" s="13">
        <v>1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</row>
    <row r="636" spans="1:45" ht="23" customHeight="1">
      <c r="A636" s="13" t="s">
        <v>1348</v>
      </c>
      <c r="B636" s="13" t="s">
        <v>1349</v>
      </c>
      <c r="C636" s="13"/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1</v>
      </c>
      <c r="K636" s="13">
        <v>1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</row>
    <row r="637" spans="1:45" ht="23" customHeight="1">
      <c r="A637" s="13" t="s">
        <v>1350</v>
      </c>
      <c r="B637" s="13" t="s">
        <v>1351</v>
      </c>
      <c r="C637" s="13" t="s">
        <v>2230</v>
      </c>
      <c r="D637" s="13">
        <v>0</v>
      </c>
      <c r="E637" s="13">
        <v>0</v>
      </c>
      <c r="F637" s="13">
        <v>5</v>
      </c>
      <c r="G637" s="13">
        <v>0</v>
      </c>
      <c r="H637" s="13">
        <v>-5</v>
      </c>
      <c r="I637" s="13">
        <v>-6</v>
      </c>
      <c r="J637" s="13">
        <v>1</v>
      </c>
      <c r="K637" s="13">
        <v>4</v>
      </c>
      <c r="L637" s="13">
        <v>0</v>
      </c>
      <c r="M637" s="13">
        <v>-3</v>
      </c>
      <c r="N637" s="13">
        <v>-6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-8</v>
      </c>
    </row>
    <row r="638" spans="1:45" ht="23" customHeight="1">
      <c r="A638" s="13" t="s">
        <v>1352</v>
      </c>
      <c r="B638" s="13" t="s">
        <v>1353</v>
      </c>
      <c r="C638" s="13" t="s">
        <v>2231</v>
      </c>
      <c r="D638" s="13">
        <v>0</v>
      </c>
      <c r="E638" s="13">
        <v>4</v>
      </c>
      <c r="F638" s="13">
        <v>4</v>
      </c>
      <c r="G638" s="13">
        <v>0</v>
      </c>
      <c r="H638" s="13">
        <v>0</v>
      </c>
      <c r="I638" s="13">
        <v>-10</v>
      </c>
      <c r="J638" s="13">
        <v>4</v>
      </c>
      <c r="K638" s="13">
        <v>1</v>
      </c>
      <c r="L638" s="13">
        <v>0</v>
      </c>
      <c r="M638" s="14">
        <v>3</v>
      </c>
      <c r="N638" s="13">
        <v>-8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4">
        <v>3</v>
      </c>
    </row>
    <row r="639" spans="1:45" ht="34" customHeight="1">
      <c r="A639" s="13" t="s">
        <v>1354</v>
      </c>
      <c r="B639" s="13" t="s">
        <v>1355</v>
      </c>
      <c r="C639" s="13" t="s">
        <v>2232</v>
      </c>
      <c r="D639" s="13">
        <v>0</v>
      </c>
      <c r="E639" s="13">
        <v>2</v>
      </c>
      <c r="F639" s="13">
        <v>4</v>
      </c>
      <c r="G639" s="13">
        <v>0</v>
      </c>
      <c r="H639" s="13">
        <v>-2</v>
      </c>
      <c r="I639" s="13">
        <v>-9</v>
      </c>
      <c r="J639" s="13">
        <v>1</v>
      </c>
      <c r="K639" s="13">
        <v>2</v>
      </c>
      <c r="L639" s="13">
        <v>0</v>
      </c>
      <c r="M639" s="13">
        <v>-1</v>
      </c>
      <c r="N639" s="13">
        <v>-9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-2</v>
      </c>
    </row>
    <row r="640" spans="1:45" ht="23" customHeight="1">
      <c r="A640" s="13" t="s">
        <v>1356</v>
      </c>
      <c r="B640" s="13" t="s">
        <v>1357</v>
      </c>
      <c r="C640" s="13"/>
      <c r="D640" s="13">
        <v>0</v>
      </c>
      <c r="E640" s="13">
        <v>2</v>
      </c>
      <c r="F640" s="13">
        <v>2</v>
      </c>
      <c r="G640" s="13">
        <v>0</v>
      </c>
      <c r="H640" s="13">
        <v>0</v>
      </c>
      <c r="I640" s="13">
        <v>-16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</row>
    <row r="641" spans="1:45" ht="23" customHeight="1">
      <c r="A641" s="13" t="s">
        <v>1358</v>
      </c>
      <c r="B641" s="13" t="s">
        <v>1359</v>
      </c>
      <c r="C641" s="13" t="s">
        <v>2233</v>
      </c>
      <c r="D641" s="13">
        <v>4</v>
      </c>
      <c r="E641" s="13">
        <v>1</v>
      </c>
      <c r="F641" s="13">
        <v>0</v>
      </c>
      <c r="G641" s="13">
        <v>0</v>
      </c>
      <c r="H641" s="14">
        <v>1</v>
      </c>
      <c r="I641" s="13">
        <v>-4</v>
      </c>
      <c r="J641" s="13">
        <v>0</v>
      </c>
      <c r="K641" s="13">
        <v>0</v>
      </c>
      <c r="L641" s="13">
        <v>0</v>
      </c>
      <c r="M641" s="13">
        <v>0</v>
      </c>
      <c r="N641" s="13">
        <v>-1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-1</v>
      </c>
      <c r="AS641" s="14">
        <v>1</v>
      </c>
    </row>
    <row r="642" spans="1:45" ht="34" customHeight="1">
      <c r="A642" s="13" t="s">
        <v>1360</v>
      </c>
      <c r="B642" s="13" t="s">
        <v>1361</v>
      </c>
      <c r="C642" s="13" t="s">
        <v>2234</v>
      </c>
      <c r="D642" s="13">
        <v>1</v>
      </c>
      <c r="E642" s="13">
        <v>1</v>
      </c>
      <c r="F642" s="13">
        <v>2</v>
      </c>
      <c r="G642" s="13">
        <v>0</v>
      </c>
      <c r="H642" s="13">
        <v>-1</v>
      </c>
      <c r="I642" s="13">
        <v>-1</v>
      </c>
      <c r="J642" s="13">
        <v>1</v>
      </c>
      <c r="K642" s="13">
        <v>1</v>
      </c>
      <c r="L642" s="13">
        <v>0</v>
      </c>
      <c r="M642" s="13">
        <v>0</v>
      </c>
      <c r="N642" s="13">
        <v>-1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-1</v>
      </c>
    </row>
    <row r="643" spans="1:45" ht="20" customHeight="1">
      <c r="A643" s="13" t="s">
        <v>1362</v>
      </c>
      <c r="B643" s="13" t="s">
        <v>1357</v>
      </c>
      <c r="C643" s="13"/>
      <c r="D643" s="13">
        <v>12</v>
      </c>
      <c r="E643" s="13">
        <v>1</v>
      </c>
      <c r="F643" s="13">
        <v>1</v>
      </c>
      <c r="G643" s="13">
        <v>0</v>
      </c>
      <c r="H643" s="13">
        <v>0</v>
      </c>
      <c r="I643" s="13">
        <v>-28</v>
      </c>
      <c r="J643" s="13">
        <v>0</v>
      </c>
      <c r="K643" s="13">
        <v>0</v>
      </c>
      <c r="L643" s="13">
        <v>0</v>
      </c>
      <c r="M643" s="13">
        <v>0</v>
      </c>
      <c r="N643" s="13">
        <v>-12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</row>
    <row r="644" spans="1:45" ht="23" customHeight="1">
      <c r="A644" s="13" t="s">
        <v>1363</v>
      </c>
      <c r="B644" s="13" t="s">
        <v>1364</v>
      </c>
      <c r="C644" s="13" t="s">
        <v>2235</v>
      </c>
      <c r="D644" s="13">
        <v>0</v>
      </c>
      <c r="E644" s="13">
        <v>0</v>
      </c>
      <c r="F644" s="13">
        <v>1</v>
      </c>
      <c r="G644" s="13">
        <v>0</v>
      </c>
      <c r="H644" s="13">
        <v>-1</v>
      </c>
      <c r="I644" s="13">
        <v>0</v>
      </c>
      <c r="J644" s="13">
        <v>1</v>
      </c>
      <c r="K644" s="13">
        <v>1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</row>
    <row r="645" spans="1:45" ht="23" customHeight="1">
      <c r="A645" s="13" t="s">
        <v>1365</v>
      </c>
      <c r="B645" s="13" t="s">
        <v>1366</v>
      </c>
      <c r="C645" s="13"/>
      <c r="D645" s="13">
        <v>0</v>
      </c>
      <c r="E645" s="13">
        <v>1</v>
      </c>
      <c r="F645" s="13">
        <v>3</v>
      </c>
      <c r="G645" s="13">
        <v>0</v>
      </c>
      <c r="H645" s="13">
        <v>-2</v>
      </c>
      <c r="I645" s="13">
        <v>0</v>
      </c>
      <c r="J645" s="13">
        <v>1</v>
      </c>
      <c r="K645" s="13">
        <v>1</v>
      </c>
      <c r="L645" s="13">
        <v>0</v>
      </c>
      <c r="M645" s="13">
        <v>0</v>
      </c>
      <c r="N645" s="13">
        <v>-2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-2</v>
      </c>
    </row>
    <row r="646" spans="1:45" ht="20" customHeight="1">
      <c r="A646" s="13" t="s">
        <v>1367</v>
      </c>
      <c r="B646" s="13" t="s">
        <v>1368</v>
      </c>
      <c r="C646" s="13" t="s">
        <v>2236</v>
      </c>
      <c r="D646" s="13">
        <v>0</v>
      </c>
      <c r="E646" s="13">
        <v>0</v>
      </c>
      <c r="F646" s="13">
        <v>1</v>
      </c>
      <c r="G646" s="13">
        <v>0</v>
      </c>
      <c r="H646" s="13">
        <v>-1</v>
      </c>
      <c r="I646" s="13">
        <v>0</v>
      </c>
      <c r="J646" s="13">
        <v>1</v>
      </c>
      <c r="K646" s="13">
        <v>1</v>
      </c>
      <c r="L646" s="13">
        <v>0</v>
      </c>
      <c r="M646" s="13">
        <v>0</v>
      </c>
      <c r="N646" s="13">
        <v>-2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-1</v>
      </c>
    </row>
    <row r="647" spans="1:45" ht="23" customHeight="1">
      <c r="A647" s="13" t="s">
        <v>1370</v>
      </c>
      <c r="B647" s="13" t="s">
        <v>1371</v>
      </c>
      <c r="C647" s="13"/>
      <c r="D647" s="13">
        <v>0</v>
      </c>
      <c r="E647" s="13">
        <v>1</v>
      </c>
      <c r="F647" s="13">
        <v>1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</row>
    <row r="648" spans="1:45" ht="34" customHeight="1">
      <c r="A648" s="13" t="s">
        <v>1372</v>
      </c>
      <c r="B648" s="13" t="s">
        <v>1373</v>
      </c>
      <c r="C648" s="13" t="s">
        <v>2237</v>
      </c>
      <c r="D648" s="13">
        <v>0</v>
      </c>
      <c r="E648" s="13">
        <v>1</v>
      </c>
      <c r="F648" s="13">
        <v>1</v>
      </c>
      <c r="G648" s="13">
        <v>0</v>
      </c>
      <c r="H648" s="13">
        <v>0</v>
      </c>
      <c r="I648" s="13">
        <v>-1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</row>
    <row r="649" spans="1:45" ht="34" customHeight="1">
      <c r="A649" s="13" t="s">
        <v>1374</v>
      </c>
      <c r="B649" s="13" t="s">
        <v>1375</v>
      </c>
      <c r="C649" s="13"/>
      <c r="D649" s="13">
        <v>0</v>
      </c>
      <c r="E649" s="13">
        <v>4</v>
      </c>
      <c r="F649" s="13">
        <v>12</v>
      </c>
      <c r="G649" s="13">
        <v>0</v>
      </c>
      <c r="H649" s="13">
        <v>-8</v>
      </c>
      <c r="I649" s="13">
        <v>-7</v>
      </c>
      <c r="J649" s="13">
        <v>2</v>
      </c>
      <c r="K649" s="13">
        <v>3</v>
      </c>
      <c r="L649" s="13">
        <v>0</v>
      </c>
      <c r="M649" s="13">
        <v>-1</v>
      </c>
      <c r="N649" s="13">
        <v>-5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-9</v>
      </c>
    </row>
    <row r="650" spans="1:45" ht="34" customHeight="1">
      <c r="A650" s="13" t="s">
        <v>1376</v>
      </c>
      <c r="B650" s="13" t="s">
        <v>1375</v>
      </c>
      <c r="C650" s="13" t="s">
        <v>2238</v>
      </c>
      <c r="D650" s="13">
        <v>0</v>
      </c>
      <c r="E650" s="13">
        <v>4</v>
      </c>
      <c r="F650" s="13">
        <v>8</v>
      </c>
      <c r="G650" s="13">
        <v>0</v>
      </c>
      <c r="H650" s="13">
        <v>-4</v>
      </c>
      <c r="I650" s="13">
        <v>-4</v>
      </c>
      <c r="J650" s="13">
        <v>2</v>
      </c>
      <c r="K650" s="13">
        <v>3</v>
      </c>
      <c r="L650" s="13">
        <v>0</v>
      </c>
      <c r="M650" s="13">
        <v>-1</v>
      </c>
      <c r="N650" s="13">
        <v>-5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-5</v>
      </c>
    </row>
    <row r="651" spans="1:45" ht="20" customHeight="1">
      <c r="A651" s="13" t="s">
        <v>1378</v>
      </c>
      <c r="B651" s="13" t="s">
        <v>1379</v>
      </c>
      <c r="C651" s="13"/>
      <c r="D651" s="13">
        <v>0</v>
      </c>
      <c r="E651" s="13">
        <v>1</v>
      </c>
      <c r="F651" s="13">
        <v>6</v>
      </c>
      <c r="G651" s="13">
        <v>0</v>
      </c>
      <c r="H651" s="13">
        <v>-5</v>
      </c>
      <c r="I651" s="13">
        <v>-3</v>
      </c>
      <c r="J651" s="13">
        <v>1</v>
      </c>
      <c r="K651" s="13">
        <v>1</v>
      </c>
      <c r="L651" s="13">
        <v>0</v>
      </c>
      <c r="M651" s="13">
        <v>0</v>
      </c>
      <c r="N651" s="13">
        <v>-1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-5</v>
      </c>
    </row>
    <row r="652" spans="1:45" ht="20" customHeight="1">
      <c r="A652" s="13" t="s">
        <v>1380</v>
      </c>
      <c r="B652" s="13" t="s">
        <v>1381</v>
      </c>
      <c r="C652" s="13"/>
      <c r="D652" s="13">
        <v>0</v>
      </c>
      <c r="E652" s="13">
        <v>1</v>
      </c>
      <c r="F652" s="13">
        <v>6</v>
      </c>
      <c r="G652" s="13">
        <v>0</v>
      </c>
      <c r="H652" s="13">
        <v>-5</v>
      </c>
      <c r="I652" s="13">
        <v>0</v>
      </c>
      <c r="J652" s="13">
        <v>1</v>
      </c>
      <c r="K652" s="13">
        <v>1</v>
      </c>
      <c r="L652" s="13">
        <v>0</v>
      </c>
      <c r="M652" s="13">
        <v>0</v>
      </c>
      <c r="N652" s="13">
        <v>-2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-5</v>
      </c>
    </row>
    <row r="653" spans="1:45" ht="20" customHeight="1">
      <c r="A653" s="13" t="s">
        <v>1382</v>
      </c>
      <c r="B653" s="13" t="s">
        <v>1379</v>
      </c>
      <c r="C653" s="13"/>
      <c r="D653" s="13">
        <v>1</v>
      </c>
      <c r="E653" s="13">
        <v>1</v>
      </c>
      <c r="F653" s="13">
        <v>6</v>
      </c>
      <c r="G653" s="13">
        <v>0</v>
      </c>
      <c r="H653" s="13">
        <v>-5</v>
      </c>
      <c r="I653" s="13">
        <v>-1</v>
      </c>
      <c r="J653" s="13">
        <v>1</v>
      </c>
      <c r="K653" s="13">
        <v>2</v>
      </c>
      <c r="L653" s="13">
        <v>0</v>
      </c>
      <c r="M653" s="13">
        <v>-1</v>
      </c>
      <c r="N653" s="13">
        <v>-3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-6</v>
      </c>
    </row>
    <row r="654" spans="1:45" ht="20" customHeight="1">
      <c r="A654" s="13" t="s">
        <v>1383</v>
      </c>
      <c r="B654" s="13" t="s">
        <v>1384</v>
      </c>
      <c r="C654" s="13"/>
      <c r="D654" s="13">
        <v>0</v>
      </c>
      <c r="E654" s="13">
        <v>1</v>
      </c>
      <c r="F654" s="13">
        <v>3</v>
      </c>
      <c r="G654" s="13">
        <v>0</v>
      </c>
      <c r="H654" s="13">
        <v>-2</v>
      </c>
      <c r="I654" s="13">
        <v>-1</v>
      </c>
      <c r="J654" s="13">
        <v>0</v>
      </c>
      <c r="K654" s="13">
        <v>1</v>
      </c>
      <c r="L654" s="13">
        <v>0</v>
      </c>
      <c r="M654" s="13">
        <v>-1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-3</v>
      </c>
    </row>
    <row r="655" spans="1:45" ht="34" customHeight="1">
      <c r="A655" s="13" t="s">
        <v>1385</v>
      </c>
      <c r="B655" s="13" t="s">
        <v>1386</v>
      </c>
      <c r="C655" s="13" t="s">
        <v>2239</v>
      </c>
      <c r="D655" s="13">
        <v>0</v>
      </c>
      <c r="E655" s="13">
        <v>1</v>
      </c>
      <c r="F655" s="13">
        <v>4</v>
      </c>
      <c r="G655" s="13">
        <v>0</v>
      </c>
      <c r="H655" s="13">
        <v>-3</v>
      </c>
      <c r="I655" s="13">
        <v>-4</v>
      </c>
      <c r="J655" s="13">
        <v>1</v>
      </c>
      <c r="K655" s="13">
        <v>1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-1</v>
      </c>
    </row>
    <row r="656" spans="1:45" ht="23" customHeight="1">
      <c r="A656" s="13" t="s">
        <v>1388</v>
      </c>
      <c r="B656" s="13" t="s">
        <v>1389</v>
      </c>
      <c r="C656" s="13"/>
      <c r="D656" s="13">
        <v>2</v>
      </c>
      <c r="E656" s="13">
        <v>1</v>
      </c>
      <c r="F656" s="13">
        <v>1</v>
      </c>
      <c r="G656" s="13">
        <v>0</v>
      </c>
      <c r="H656" s="13">
        <v>0</v>
      </c>
      <c r="I656" s="13">
        <v>-2</v>
      </c>
      <c r="J656" s="13">
        <v>1</v>
      </c>
      <c r="K656" s="13">
        <v>0</v>
      </c>
      <c r="L656" s="13">
        <v>0</v>
      </c>
      <c r="M656" s="14">
        <v>1</v>
      </c>
      <c r="N656" s="13">
        <v>-16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4">
        <v>2</v>
      </c>
    </row>
    <row r="657" spans="1:45" ht="23" customHeight="1">
      <c r="A657" s="13" t="s">
        <v>1390</v>
      </c>
      <c r="B657" s="13" t="s">
        <v>1389</v>
      </c>
      <c r="C657" s="13"/>
      <c r="D657" s="13">
        <v>0</v>
      </c>
      <c r="E657" s="13">
        <v>0</v>
      </c>
      <c r="F657" s="13">
        <v>2</v>
      </c>
      <c r="G657" s="13">
        <v>0</v>
      </c>
      <c r="H657" s="13">
        <v>-2</v>
      </c>
      <c r="I657" s="13">
        <v>-1</v>
      </c>
      <c r="J657" s="13">
        <v>1</v>
      </c>
      <c r="K657" s="13">
        <v>2</v>
      </c>
      <c r="L657" s="13">
        <v>0</v>
      </c>
      <c r="M657" s="13">
        <v>-1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1</v>
      </c>
      <c r="AP657" s="13">
        <v>0</v>
      </c>
      <c r="AQ657" s="13">
        <v>-1</v>
      </c>
      <c r="AR657" s="13">
        <v>0</v>
      </c>
      <c r="AS657" s="13">
        <v>-3</v>
      </c>
    </row>
    <row r="658" spans="1:45" ht="34" customHeight="1">
      <c r="A658" s="13" t="s">
        <v>1391</v>
      </c>
      <c r="B658" s="13" t="s">
        <v>1392</v>
      </c>
      <c r="C658" s="13"/>
      <c r="D658" s="13">
        <v>0</v>
      </c>
      <c r="E658" s="13">
        <v>1</v>
      </c>
      <c r="F658" s="13">
        <v>2</v>
      </c>
      <c r="G658" s="13">
        <v>0</v>
      </c>
      <c r="H658" s="13">
        <v>-1</v>
      </c>
      <c r="I658" s="13">
        <v>0</v>
      </c>
      <c r="J658" s="13">
        <v>1</v>
      </c>
      <c r="K658" s="13">
        <v>1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</row>
    <row r="659" spans="1:45" ht="34" customHeight="1">
      <c r="A659" s="13" t="s">
        <v>1393</v>
      </c>
      <c r="B659" s="13" t="s">
        <v>1394</v>
      </c>
      <c r="C659" s="13"/>
      <c r="D659" s="13">
        <v>0</v>
      </c>
      <c r="E659" s="13">
        <v>1</v>
      </c>
      <c r="F659" s="13">
        <v>1</v>
      </c>
      <c r="G659" s="13">
        <v>0</v>
      </c>
      <c r="H659" s="13">
        <v>0</v>
      </c>
      <c r="I659" s="13">
        <v>0</v>
      </c>
      <c r="J659" s="13">
        <v>1</v>
      </c>
      <c r="K659" s="13">
        <v>1</v>
      </c>
      <c r="L659" s="13">
        <v>0</v>
      </c>
      <c r="M659" s="13">
        <v>0</v>
      </c>
      <c r="N659" s="13">
        <v>-2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</row>
    <row r="660" spans="1:45" ht="23" customHeight="1">
      <c r="A660" s="13" t="s">
        <v>1396</v>
      </c>
      <c r="B660" s="13" t="s">
        <v>1397</v>
      </c>
      <c r="C660" s="13" t="s">
        <v>2240</v>
      </c>
      <c r="D660" s="13">
        <v>0</v>
      </c>
      <c r="E660" s="13">
        <v>1</v>
      </c>
      <c r="F660" s="13">
        <v>2</v>
      </c>
      <c r="G660" s="13">
        <v>0</v>
      </c>
      <c r="H660" s="13">
        <v>-1</v>
      </c>
      <c r="I660" s="13">
        <v>-4</v>
      </c>
      <c r="J660" s="13">
        <v>1</v>
      </c>
      <c r="K660" s="13">
        <v>1</v>
      </c>
      <c r="L660" s="13">
        <v>0</v>
      </c>
      <c r="M660" s="13">
        <v>0</v>
      </c>
      <c r="N660" s="13">
        <v>-3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-1</v>
      </c>
    </row>
    <row r="661" spans="1:45" ht="34" customHeight="1">
      <c r="A661" s="13" t="s">
        <v>1399</v>
      </c>
      <c r="B661" s="13" t="s">
        <v>1400</v>
      </c>
      <c r="C661" s="13" t="s">
        <v>2241</v>
      </c>
      <c r="D661" s="13">
        <v>0</v>
      </c>
      <c r="E661" s="13">
        <v>2</v>
      </c>
      <c r="F661" s="13">
        <v>2</v>
      </c>
      <c r="G661" s="13">
        <v>0</v>
      </c>
      <c r="H661" s="13">
        <v>0</v>
      </c>
      <c r="I661" s="13">
        <v>0</v>
      </c>
      <c r="J661" s="13">
        <v>1</v>
      </c>
      <c r="K661" s="13">
        <v>1</v>
      </c>
      <c r="L661" s="13">
        <v>0</v>
      </c>
      <c r="M661" s="13">
        <v>0</v>
      </c>
      <c r="N661" s="13">
        <v>0</v>
      </c>
      <c r="O661" s="13">
        <v>0</v>
      </c>
      <c r="P661" s="13">
        <v>1</v>
      </c>
      <c r="Q661" s="13">
        <v>0</v>
      </c>
      <c r="R661" s="13">
        <v>-1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-1</v>
      </c>
    </row>
    <row r="662" spans="1:45" ht="23" customHeight="1">
      <c r="A662" s="13" t="s">
        <v>1401</v>
      </c>
      <c r="B662" s="13" t="s">
        <v>1402</v>
      </c>
      <c r="C662" s="13"/>
      <c r="D662" s="13">
        <v>0</v>
      </c>
      <c r="E662" s="13">
        <v>1</v>
      </c>
      <c r="F662" s="13">
        <v>2</v>
      </c>
      <c r="G662" s="13">
        <v>0</v>
      </c>
      <c r="H662" s="13">
        <v>-1</v>
      </c>
      <c r="I662" s="13">
        <v>-4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-1</v>
      </c>
    </row>
    <row r="663" spans="1:45" ht="20" customHeight="1">
      <c r="A663" s="13" t="s">
        <v>1403</v>
      </c>
      <c r="B663" s="13" t="s">
        <v>1404</v>
      </c>
      <c r="C663" s="13"/>
      <c r="D663" s="13">
        <v>0</v>
      </c>
      <c r="E663" s="13">
        <v>1</v>
      </c>
      <c r="F663" s="13">
        <v>1</v>
      </c>
      <c r="G663" s="13">
        <v>0</v>
      </c>
      <c r="H663" s="13">
        <v>0</v>
      </c>
      <c r="I663" s="13">
        <v>-2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</row>
    <row r="664" spans="1:45" ht="20" customHeight="1">
      <c r="A664" s="13" t="s">
        <v>1405</v>
      </c>
      <c r="B664" s="13" t="s">
        <v>1404</v>
      </c>
      <c r="C664" s="13"/>
      <c r="D664" s="13">
        <v>0</v>
      </c>
      <c r="E664" s="13">
        <v>1</v>
      </c>
      <c r="F664" s="13">
        <v>5</v>
      </c>
      <c r="G664" s="13">
        <v>0</v>
      </c>
      <c r="H664" s="13">
        <v>-4</v>
      </c>
      <c r="I664" s="13">
        <v>-2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-4</v>
      </c>
    </row>
    <row r="665" spans="1:45" ht="23" customHeight="1">
      <c r="A665" s="13" t="s">
        <v>1406</v>
      </c>
      <c r="B665" s="13" t="s">
        <v>1407</v>
      </c>
      <c r="C665" s="13"/>
      <c r="D665" s="13">
        <v>0</v>
      </c>
      <c r="E665" s="13">
        <v>1</v>
      </c>
      <c r="F665" s="13">
        <v>3</v>
      </c>
      <c r="G665" s="13">
        <v>0</v>
      </c>
      <c r="H665" s="13">
        <v>-2</v>
      </c>
      <c r="I665" s="13">
        <v>-1</v>
      </c>
      <c r="J665" s="13">
        <v>0</v>
      </c>
      <c r="K665" s="13">
        <v>1</v>
      </c>
      <c r="L665" s="13">
        <v>0</v>
      </c>
      <c r="M665" s="13">
        <v>-1</v>
      </c>
      <c r="N665" s="13">
        <v>-1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-3</v>
      </c>
    </row>
    <row r="666" spans="1:45" ht="34" customHeight="1">
      <c r="A666" s="13" t="s">
        <v>1409</v>
      </c>
      <c r="B666" s="13" t="s">
        <v>1410</v>
      </c>
      <c r="C666" s="13" t="s">
        <v>2242</v>
      </c>
      <c r="D666" s="13">
        <v>2</v>
      </c>
      <c r="E666" s="13">
        <v>2</v>
      </c>
      <c r="F666" s="13">
        <v>1</v>
      </c>
      <c r="G666" s="13">
        <v>0</v>
      </c>
      <c r="H666" s="14">
        <v>1</v>
      </c>
      <c r="I666" s="13">
        <v>-6</v>
      </c>
      <c r="J666" s="13">
        <v>1</v>
      </c>
      <c r="K666" s="13">
        <v>1</v>
      </c>
      <c r="L666" s="13">
        <v>0</v>
      </c>
      <c r="M666" s="13">
        <v>0</v>
      </c>
      <c r="N666" s="13">
        <v>-8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1</v>
      </c>
      <c r="U666" s="13">
        <v>0</v>
      </c>
      <c r="V666" s="13">
        <v>0</v>
      </c>
      <c r="W666" s="14">
        <v>1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4">
        <v>2</v>
      </c>
    </row>
    <row r="667" spans="1:45" ht="20" customHeight="1">
      <c r="A667" s="13" t="s">
        <v>1412</v>
      </c>
      <c r="B667" s="13" t="s">
        <v>1413</v>
      </c>
      <c r="C667" s="13"/>
      <c r="D667" s="13">
        <v>0</v>
      </c>
      <c r="E667" s="13">
        <v>1</v>
      </c>
      <c r="F667" s="13">
        <v>1</v>
      </c>
      <c r="G667" s="13">
        <v>0</v>
      </c>
      <c r="H667" s="13">
        <v>0</v>
      </c>
      <c r="I667" s="13">
        <v>-2</v>
      </c>
      <c r="J667" s="13">
        <v>0</v>
      </c>
      <c r="K667" s="13">
        <v>0</v>
      </c>
      <c r="L667" s="13">
        <v>0</v>
      </c>
      <c r="M667" s="13">
        <v>0</v>
      </c>
      <c r="N667" s="13">
        <v>-1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</row>
    <row r="668" spans="1:45" ht="23" customHeight="1">
      <c r="A668" s="13" t="s">
        <v>1415</v>
      </c>
      <c r="B668" s="13" t="s">
        <v>1416</v>
      </c>
      <c r="C668" s="13"/>
      <c r="D668" s="13">
        <v>1</v>
      </c>
      <c r="E668" s="13">
        <v>2</v>
      </c>
      <c r="F668" s="13">
        <v>1</v>
      </c>
      <c r="G668" s="13">
        <v>0</v>
      </c>
      <c r="H668" s="14">
        <v>1</v>
      </c>
      <c r="I668" s="13">
        <v>-6</v>
      </c>
      <c r="J668" s="13">
        <v>1</v>
      </c>
      <c r="K668" s="13">
        <v>0</v>
      </c>
      <c r="L668" s="13">
        <v>0</v>
      </c>
      <c r="M668" s="14">
        <v>1</v>
      </c>
      <c r="N668" s="13">
        <v>-10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4">
        <v>2</v>
      </c>
    </row>
    <row r="669" spans="1:45" ht="23" customHeight="1">
      <c r="A669" s="13" t="s">
        <v>1418</v>
      </c>
      <c r="B669" s="13" t="s">
        <v>1416</v>
      </c>
      <c r="C669" s="13"/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1</v>
      </c>
      <c r="K669" s="13">
        <v>1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</row>
    <row r="670" spans="1:45" ht="20" customHeight="1">
      <c r="A670" s="13" t="s">
        <v>1420</v>
      </c>
      <c r="B670" s="13" t="s">
        <v>899</v>
      </c>
      <c r="C670" s="13" t="s">
        <v>2243</v>
      </c>
      <c r="D670" s="13">
        <v>0</v>
      </c>
      <c r="E670" s="13">
        <v>0</v>
      </c>
      <c r="F670" s="13">
        <v>1</v>
      </c>
      <c r="G670" s="13">
        <v>0</v>
      </c>
      <c r="H670" s="13">
        <v>-1</v>
      </c>
      <c r="I670" s="13">
        <v>0</v>
      </c>
      <c r="J670" s="13">
        <v>1</v>
      </c>
      <c r="K670" s="13">
        <v>1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</row>
    <row r="671" spans="1:45" ht="34" customHeight="1">
      <c r="A671" s="13" t="s">
        <v>1421</v>
      </c>
      <c r="B671" s="13" t="s">
        <v>1422</v>
      </c>
      <c r="C671" s="13"/>
      <c r="D671" s="13">
        <v>0</v>
      </c>
      <c r="E671" s="13">
        <v>0</v>
      </c>
      <c r="F671" s="13">
        <v>1</v>
      </c>
      <c r="G671" s="13">
        <v>0</v>
      </c>
      <c r="H671" s="13">
        <v>-1</v>
      </c>
      <c r="I671" s="13">
        <v>0</v>
      </c>
      <c r="J671" s="13">
        <v>1</v>
      </c>
      <c r="K671" s="13">
        <v>1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-1</v>
      </c>
    </row>
    <row r="672" spans="1:45" ht="34" customHeight="1">
      <c r="A672" s="13" t="s">
        <v>1423</v>
      </c>
      <c r="B672" s="13" t="s">
        <v>1422</v>
      </c>
      <c r="C672" s="13"/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1</v>
      </c>
      <c r="K672" s="13">
        <v>1</v>
      </c>
      <c r="L672" s="13">
        <v>0</v>
      </c>
      <c r="M672" s="13">
        <v>0</v>
      </c>
      <c r="N672" s="13">
        <v>-3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</row>
    <row r="673" spans="1:45" ht="34" customHeight="1">
      <c r="A673" s="13" t="s">
        <v>1425</v>
      </c>
      <c r="B673" s="13" t="s">
        <v>1426</v>
      </c>
      <c r="C673" s="13"/>
      <c r="D673" s="13">
        <v>3</v>
      </c>
      <c r="E673" s="13">
        <v>0</v>
      </c>
      <c r="F673" s="13">
        <v>2</v>
      </c>
      <c r="G673" s="13">
        <v>0</v>
      </c>
      <c r="H673" s="13">
        <v>-2</v>
      </c>
      <c r="I673" s="13">
        <v>0</v>
      </c>
      <c r="J673" s="13">
        <v>1</v>
      </c>
      <c r="K673" s="13">
        <v>2</v>
      </c>
      <c r="L673" s="13">
        <v>0</v>
      </c>
      <c r="M673" s="13">
        <v>-1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-2</v>
      </c>
    </row>
    <row r="674" spans="1:45" ht="34" customHeight="1">
      <c r="A674" s="13" t="s">
        <v>1427</v>
      </c>
      <c r="B674" s="13" t="s">
        <v>1428</v>
      </c>
      <c r="C674" s="13"/>
      <c r="D674" s="13">
        <v>0</v>
      </c>
      <c r="E674" s="13">
        <v>1</v>
      </c>
      <c r="F674" s="13">
        <v>1</v>
      </c>
      <c r="G674" s="13">
        <v>0</v>
      </c>
      <c r="H674" s="13">
        <v>0</v>
      </c>
      <c r="I674" s="13">
        <v>-7</v>
      </c>
      <c r="J674" s="13">
        <v>1</v>
      </c>
      <c r="K674" s="13">
        <v>1</v>
      </c>
      <c r="L674" s="13">
        <v>0</v>
      </c>
      <c r="M674" s="13">
        <v>0</v>
      </c>
      <c r="N674" s="13">
        <v>-1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</row>
    <row r="675" spans="1:45" ht="34" customHeight="1">
      <c r="A675" s="13" t="s">
        <v>1429</v>
      </c>
      <c r="B675" s="13" t="s">
        <v>1394</v>
      </c>
      <c r="C675" s="13"/>
      <c r="D675" s="13">
        <v>0</v>
      </c>
      <c r="E675" s="13">
        <v>0</v>
      </c>
      <c r="F675" s="13">
        <v>2</v>
      </c>
      <c r="G675" s="13">
        <v>0</v>
      </c>
      <c r="H675" s="13">
        <v>-2</v>
      </c>
      <c r="I675" s="13">
        <v>0</v>
      </c>
      <c r="J675" s="13">
        <v>1</v>
      </c>
      <c r="K675" s="13">
        <v>1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-2</v>
      </c>
    </row>
    <row r="676" spans="1:45" ht="34" customHeight="1">
      <c r="A676" s="13" t="s">
        <v>1430</v>
      </c>
      <c r="B676" s="13" t="s">
        <v>1422</v>
      </c>
      <c r="C676" s="13"/>
      <c r="D676" s="13">
        <v>0</v>
      </c>
      <c r="E676" s="13">
        <v>0</v>
      </c>
      <c r="F676" s="13">
        <v>3</v>
      </c>
      <c r="G676" s="13">
        <v>0</v>
      </c>
      <c r="H676" s="13">
        <v>-3</v>
      </c>
      <c r="I676" s="13">
        <v>-1</v>
      </c>
      <c r="J676" s="13">
        <v>1</v>
      </c>
      <c r="K676" s="13">
        <v>1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-1</v>
      </c>
      <c r="AS676" s="13">
        <v>-3</v>
      </c>
    </row>
    <row r="677" spans="1:45" ht="34" customHeight="1">
      <c r="A677" s="13" t="s">
        <v>1432</v>
      </c>
      <c r="B677" s="13" t="s">
        <v>1433</v>
      </c>
      <c r="C677" s="13"/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1</v>
      </c>
      <c r="K677" s="13">
        <v>1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</row>
    <row r="678" spans="1:45" ht="23" customHeight="1">
      <c r="A678" s="13" t="s">
        <v>1434</v>
      </c>
      <c r="B678" s="13" t="s">
        <v>1435</v>
      </c>
      <c r="C678" s="13"/>
      <c r="D678" s="13">
        <v>0</v>
      </c>
      <c r="E678" s="13">
        <v>5</v>
      </c>
      <c r="F678" s="13">
        <v>8</v>
      </c>
      <c r="G678" s="13">
        <v>0</v>
      </c>
      <c r="H678" s="13">
        <v>-3</v>
      </c>
      <c r="I678" s="13">
        <v>-5</v>
      </c>
      <c r="J678" s="13">
        <v>1</v>
      </c>
      <c r="K678" s="13">
        <v>1</v>
      </c>
      <c r="L678" s="13">
        <v>0</v>
      </c>
      <c r="M678" s="13">
        <v>0</v>
      </c>
      <c r="N678" s="13">
        <v>-2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0</v>
      </c>
      <c r="AP678" s="13">
        <v>0</v>
      </c>
      <c r="AQ678" s="13">
        <v>0</v>
      </c>
      <c r="AR678" s="13">
        <v>-1</v>
      </c>
      <c r="AS678" s="13">
        <v>-3</v>
      </c>
    </row>
    <row r="679" spans="1:45" ht="23" customHeight="1">
      <c r="A679" s="13" t="s">
        <v>1436</v>
      </c>
      <c r="B679" s="13" t="s">
        <v>1170</v>
      </c>
      <c r="C679" s="13"/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3">
        <v>1</v>
      </c>
      <c r="K679" s="13">
        <v>1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</row>
    <row r="680" spans="1:45" ht="34" customHeight="1">
      <c r="A680" s="13" t="s">
        <v>1438</v>
      </c>
      <c r="B680" s="13" t="s">
        <v>1439</v>
      </c>
      <c r="C680" s="13" t="s">
        <v>2244</v>
      </c>
      <c r="D680" s="13">
        <v>1</v>
      </c>
      <c r="E680" s="13">
        <v>0</v>
      </c>
      <c r="F680" s="13">
        <v>2</v>
      </c>
      <c r="G680" s="13">
        <v>0</v>
      </c>
      <c r="H680" s="13">
        <v>-2</v>
      </c>
      <c r="I680" s="13">
        <v>-2</v>
      </c>
      <c r="J680" s="13">
        <v>1</v>
      </c>
      <c r="K680" s="13">
        <v>2</v>
      </c>
      <c r="L680" s="13">
        <v>0</v>
      </c>
      <c r="M680" s="13">
        <v>-1</v>
      </c>
      <c r="N680" s="13">
        <v>-5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-3</v>
      </c>
    </row>
    <row r="681" spans="1:45" ht="34" customHeight="1">
      <c r="A681" s="13" t="s">
        <v>1440</v>
      </c>
      <c r="B681" s="13" t="s">
        <v>1441</v>
      </c>
      <c r="C681" s="13" t="s">
        <v>2245</v>
      </c>
      <c r="D681" s="13">
        <v>1</v>
      </c>
      <c r="E681" s="13">
        <v>1</v>
      </c>
      <c r="F681" s="13">
        <v>0</v>
      </c>
      <c r="G681" s="13">
        <v>0</v>
      </c>
      <c r="H681" s="14">
        <v>1</v>
      </c>
      <c r="I681" s="13">
        <v>-4</v>
      </c>
      <c r="J681" s="13">
        <v>1</v>
      </c>
      <c r="K681" s="13">
        <v>0</v>
      </c>
      <c r="L681" s="13">
        <v>0</v>
      </c>
      <c r="M681" s="14">
        <v>1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4">
        <v>2</v>
      </c>
    </row>
    <row r="682" spans="1:45" ht="20" customHeight="1">
      <c r="A682" s="13" t="s">
        <v>1442</v>
      </c>
      <c r="B682" s="13" t="s">
        <v>722</v>
      </c>
      <c r="C682" s="13"/>
      <c r="D682" s="13">
        <v>0</v>
      </c>
      <c r="E682" s="13">
        <v>1</v>
      </c>
      <c r="F682" s="13">
        <v>2</v>
      </c>
      <c r="G682" s="13">
        <v>0</v>
      </c>
      <c r="H682" s="13">
        <v>-1</v>
      </c>
      <c r="I682" s="13">
        <v>0</v>
      </c>
      <c r="J682" s="13">
        <v>3</v>
      </c>
      <c r="K682" s="13">
        <v>2</v>
      </c>
      <c r="L682" s="13">
        <v>0</v>
      </c>
      <c r="M682" s="14">
        <v>1</v>
      </c>
      <c r="N682" s="13">
        <v>-2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</row>
    <row r="683" spans="1:45" ht="20" customHeight="1">
      <c r="A683" s="13" t="s">
        <v>1443</v>
      </c>
      <c r="B683" s="13" t="s">
        <v>1444</v>
      </c>
      <c r="C683" s="13"/>
      <c r="D683" s="13">
        <v>0</v>
      </c>
      <c r="E683" s="13">
        <v>1</v>
      </c>
      <c r="F683" s="13">
        <v>13</v>
      </c>
      <c r="G683" s="13">
        <v>0</v>
      </c>
      <c r="H683" s="13">
        <v>-12</v>
      </c>
      <c r="I683" s="13">
        <v>-13</v>
      </c>
      <c r="J683" s="13">
        <v>2</v>
      </c>
      <c r="K683" s="13">
        <v>2</v>
      </c>
      <c r="L683" s="13">
        <v>0</v>
      </c>
      <c r="M683" s="13">
        <v>0</v>
      </c>
      <c r="N683" s="13">
        <v>-5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1</v>
      </c>
      <c r="AO683" s="13">
        <v>1</v>
      </c>
      <c r="AP683" s="13">
        <v>0</v>
      </c>
      <c r="AQ683" s="13">
        <v>0</v>
      </c>
      <c r="AR683" s="13">
        <v>0</v>
      </c>
      <c r="AS683" s="13">
        <v>-12</v>
      </c>
    </row>
    <row r="684" spans="1:45" ht="23" customHeight="1">
      <c r="A684" s="13" t="s">
        <v>1446</v>
      </c>
      <c r="B684" s="13" t="s">
        <v>1447</v>
      </c>
      <c r="C684" s="13"/>
      <c r="D684" s="13">
        <v>0</v>
      </c>
      <c r="E684" s="13">
        <v>1</v>
      </c>
      <c r="F684" s="13">
        <v>2</v>
      </c>
      <c r="G684" s="13">
        <v>0</v>
      </c>
      <c r="H684" s="13">
        <v>-1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-1</v>
      </c>
    </row>
    <row r="685" spans="1:45" ht="20" customHeight="1">
      <c r="A685" s="13" t="s">
        <v>1448</v>
      </c>
      <c r="B685" s="13" t="s">
        <v>1449</v>
      </c>
      <c r="C685" s="13"/>
      <c r="D685" s="13">
        <v>0</v>
      </c>
      <c r="E685" s="13">
        <v>1</v>
      </c>
      <c r="F685" s="13">
        <v>4</v>
      </c>
      <c r="G685" s="13">
        <v>0</v>
      </c>
      <c r="H685" s="13">
        <v>-3</v>
      </c>
      <c r="I685" s="13">
        <v>-1</v>
      </c>
      <c r="J685" s="13">
        <v>1</v>
      </c>
      <c r="K685" s="13">
        <v>1</v>
      </c>
      <c r="L685" s="13">
        <v>0</v>
      </c>
      <c r="M685" s="13">
        <v>0</v>
      </c>
      <c r="N685" s="13">
        <v>-1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-3</v>
      </c>
    </row>
    <row r="686" spans="1:45" ht="20" customHeight="1">
      <c r="A686" s="13" t="s">
        <v>1450</v>
      </c>
      <c r="B686" s="13" t="s">
        <v>1451</v>
      </c>
      <c r="C686" s="13" t="s">
        <v>2246</v>
      </c>
      <c r="D686" s="13">
        <v>0</v>
      </c>
      <c r="E686" s="13">
        <v>16</v>
      </c>
      <c r="F686" s="13">
        <v>20</v>
      </c>
      <c r="G686" s="13">
        <v>0</v>
      </c>
      <c r="H686" s="13">
        <v>-4</v>
      </c>
      <c r="I686" s="13">
        <v>-253</v>
      </c>
      <c r="J686" s="13">
        <v>12</v>
      </c>
      <c r="K686" s="13">
        <v>11</v>
      </c>
      <c r="L686" s="13">
        <v>0</v>
      </c>
      <c r="M686" s="14">
        <v>1</v>
      </c>
      <c r="N686" s="13">
        <v>-43</v>
      </c>
      <c r="O686" s="13">
        <v>0</v>
      </c>
      <c r="P686" s="13">
        <v>1</v>
      </c>
      <c r="Q686" s="13">
        <v>0</v>
      </c>
      <c r="R686" s="13">
        <v>-1</v>
      </c>
      <c r="S686" s="13">
        <v>-1</v>
      </c>
      <c r="T686" s="13">
        <v>2</v>
      </c>
      <c r="U686" s="13">
        <v>1</v>
      </c>
      <c r="V686" s="13">
        <v>0</v>
      </c>
      <c r="W686" s="14">
        <v>1</v>
      </c>
      <c r="X686" s="13">
        <v>0</v>
      </c>
      <c r="Y686" s="13">
        <v>0</v>
      </c>
      <c r="Z686" s="13">
        <v>2</v>
      </c>
      <c r="AA686" s="13">
        <v>0</v>
      </c>
      <c r="AB686" s="13">
        <v>-2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1</v>
      </c>
      <c r="AK686" s="13">
        <v>0</v>
      </c>
      <c r="AL686" s="13">
        <v>-1</v>
      </c>
      <c r="AM686" s="13">
        <v>0</v>
      </c>
      <c r="AN686" s="13">
        <v>2</v>
      </c>
      <c r="AO686" s="13">
        <v>2</v>
      </c>
      <c r="AP686" s="13">
        <v>0</v>
      </c>
      <c r="AQ686" s="13">
        <v>0</v>
      </c>
      <c r="AR686" s="13">
        <v>-8</v>
      </c>
      <c r="AS686" s="13">
        <v>-6</v>
      </c>
    </row>
    <row r="687" spans="1:45" ht="23" customHeight="1">
      <c r="A687" s="13" t="s">
        <v>1452</v>
      </c>
      <c r="B687" s="13" t="s">
        <v>1453</v>
      </c>
      <c r="C687" s="13"/>
      <c r="D687" s="13">
        <v>0</v>
      </c>
      <c r="E687" s="13">
        <v>1</v>
      </c>
      <c r="F687" s="13">
        <v>2</v>
      </c>
      <c r="G687" s="13">
        <v>0</v>
      </c>
      <c r="H687" s="13">
        <v>-1</v>
      </c>
      <c r="I687" s="13">
        <v>0</v>
      </c>
      <c r="J687" s="13">
        <v>0</v>
      </c>
      <c r="K687" s="13">
        <v>1</v>
      </c>
      <c r="L687" s="13">
        <v>0</v>
      </c>
      <c r="M687" s="13">
        <v>-1</v>
      </c>
      <c r="N687" s="13">
        <v>-1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-2</v>
      </c>
    </row>
    <row r="688" spans="1:45" ht="20" customHeight="1">
      <c r="A688" s="13" t="s">
        <v>1454</v>
      </c>
      <c r="B688" s="13" t="s">
        <v>1455</v>
      </c>
      <c r="C688" s="13"/>
      <c r="D688" s="13">
        <v>0</v>
      </c>
      <c r="E688" s="13">
        <v>1</v>
      </c>
      <c r="F688" s="13">
        <v>6</v>
      </c>
      <c r="G688" s="13">
        <v>0</v>
      </c>
      <c r="H688" s="13">
        <v>-5</v>
      </c>
      <c r="I688" s="13">
        <v>-4</v>
      </c>
      <c r="J688" s="13">
        <v>1</v>
      </c>
      <c r="K688" s="13">
        <v>4</v>
      </c>
      <c r="L688" s="13">
        <v>0</v>
      </c>
      <c r="M688" s="13">
        <v>-3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-8</v>
      </c>
    </row>
    <row r="689" spans="1:45" ht="23" customHeight="1">
      <c r="A689" s="13" t="s">
        <v>1456</v>
      </c>
      <c r="B689" s="13" t="s">
        <v>1457</v>
      </c>
      <c r="C689" s="13"/>
      <c r="D689" s="13">
        <v>0</v>
      </c>
      <c r="E689" s="13">
        <v>1</v>
      </c>
      <c r="F689" s="13">
        <v>4</v>
      </c>
      <c r="G689" s="13">
        <v>0</v>
      </c>
      <c r="H689" s="13">
        <v>-3</v>
      </c>
      <c r="I689" s="13">
        <v>0</v>
      </c>
      <c r="J689" s="13">
        <v>1</v>
      </c>
      <c r="K689" s="13">
        <v>2</v>
      </c>
      <c r="L689" s="13">
        <v>0</v>
      </c>
      <c r="M689" s="13">
        <v>-1</v>
      </c>
      <c r="N689" s="13">
        <v>-1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-4</v>
      </c>
    </row>
    <row r="690" spans="1:45" ht="23" customHeight="1">
      <c r="A690" s="13" t="s">
        <v>1458</v>
      </c>
      <c r="B690" s="13" t="s">
        <v>1459</v>
      </c>
      <c r="C690" s="13" t="s">
        <v>2247</v>
      </c>
      <c r="D690" s="13">
        <v>0</v>
      </c>
      <c r="E690" s="13">
        <v>1</v>
      </c>
      <c r="F690" s="13">
        <v>1</v>
      </c>
      <c r="G690" s="13">
        <v>0</v>
      </c>
      <c r="H690" s="13">
        <v>0</v>
      </c>
      <c r="I690" s="13">
        <v>-1</v>
      </c>
      <c r="J690" s="13">
        <v>0</v>
      </c>
      <c r="K690" s="13">
        <v>2</v>
      </c>
      <c r="L690" s="13">
        <v>0</v>
      </c>
      <c r="M690" s="13">
        <v>-2</v>
      </c>
      <c r="N690" s="13">
        <v>-3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1</v>
      </c>
      <c r="AP690" s="13">
        <v>0</v>
      </c>
      <c r="AQ690" s="13">
        <v>-1</v>
      </c>
      <c r="AR690" s="13">
        <v>0</v>
      </c>
      <c r="AS690" s="13">
        <v>-3</v>
      </c>
    </row>
    <row r="691" spans="1:45" ht="20" customHeight="1">
      <c r="A691" s="13" t="s">
        <v>1460</v>
      </c>
      <c r="B691" s="13" t="s">
        <v>1461</v>
      </c>
      <c r="C691" s="13" t="s">
        <v>2248</v>
      </c>
      <c r="D691" s="13">
        <v>0</v>
      </c>
      <c r="E691" s="13">
        <v>10</v>
      </c>
      <c r="F691" s="13">
        <v>6</v>
      </c>
      <c r="G691" s="13">
        <v>0</v>
      </c>
      <c r="H691" s="14">
        <v>4</v>
      </c>
      <c r="I691" s="13">
        <v>-21</v>
      </c>
      <c r="J691" s="13">
        <v>5</v>
      </c>
      <c r="K691" s="13">
        <v>7</v>
      </c>
      <c r="L691" s="13">
        <v>2</v>
      </c>
      <c r="M691" s="13">
        <v>-4</v>
      </c>
      <c r="N691" s="13">
        <v>-151</v>
      </c>
      <c r="O691" s="13">
        <v>0</v>
      </c>
      <c r="P691" s="13">
        <v>2</v>
      </c>
      <c r="Q691" s="13">
        <v>0</v>
      </c>
      <c r="R691" s="13">
        <v>-2</v>
      </c>
      <c r="S691" s="13">
        <v>0</v>
      </c>
      <c r="T691" s="13">
        <v>0</v>
      </c>
      <c r="U691" s="13">
        <v>1</v>
      </c>
      <c r="V691" s="13">
        <v>0</v>
      </c>
      <c r="W691" s="13">
        <v>-1</v>
      </c>
      <c r="X691" s="13">
        <v>-1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1</v>
      </c>
      <c r="AO691" s="13">
        <v>1</v>
      </c>
      <c r="AP691" s="13">
        <v>0</v>
      </c>
      <c r="AQ691" s="13">
        <v>0</v>
      </c>
      <c r="AR691" s="13">
        <v>0</v>
      </c>
      <c r="AS691" s="13">
        <v>-3</v>
      </c>
    </row>
    <row r="692" spans="1:45" ht="20" customHeight="1">
      <c r="A692" s="13" t="s">
        <v>1462</v>
      </c>
      <c r="B692" s="13" t="s">
        <v>1463</v>
      </c>
      <c r="C692" s="13" t="s">
        <v>2249</v>
      </c>
      <c r="D692" s="13">
        <v>3</v>
      </c>
      <c r="E692" s="13">
        <v>6</v>
      </c>
      <c r="F692" s="13">
        <v>6</v>
      </c>
      <c r="G692" s="13">
        <v>0</v>
      </c>
      <c r="H692" s="13">
        <v>0</v>
      </c>
      <c r="I692" s="13">
        <v>-3</v>
      </c>
      <c r="J692" s="13">
        <v>4</v>
      </c>
      <c r="K692" s="13">
        <v>11</v>
      </c>
      <c r="L692" s="13">
        <v>0</v>
      </c>
      <c r="M692" s="13">
        <v>-7</v>
      </c>
      <c r="N692" s="13">
        <v>-37</v>
      </c>
      <c r="O692" s="13">
        <v>0</v>
      </c>
      <c r="P692" s="13">
        <v>1</v>
      </c>
      <c r="Q692" s="13">
        <v>0</v>
      </c>
      <c r="R692" s="13">
        <v>-1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1</v>
      </c>
      <c r="AO692" s="13">
        <v>1</v>
      </c>
      <c r="AP692" s="13">
        <v>0</v>
      </c>
      <c r="AQ692" s="13">
        <v>0</v>
      </c>
      <c r="AR692" s="13">
        <v>0</v>
      </c>
      <c r="AS692" s="13">
        <v>-8</v>
      </c>
    </row>
    <row r="693" spans="1:45" ht="58" customHeight="1">
      <c r="A693" s="13" t="s">
        <v>1464</v>
      </c>
      <c r="B693" s="13" t="s">
        <v>1463</v>
      </c>
      <c r="C693" s="13" t="s">
        <v>2250</v>
      </c>
      <c r="D693" s="13">
        <v>1</v>
      </c>
      <c r="E693" s="13">
        <v>10</v>
      </c>
      <c r="F693" s="13">
        <v>24</v>
      </c>
      <c r="G693" s="13">
        <v>0</v>
      </c>
      <c r="H693" s="13">
        <v>-14</v>
      </c>
      <c r="I693" s="13">
        <v>-126</v>
      </c>
      <c r="J693" s="13">
        <v>5</v>
      </c>
      <c r="K693" s="13">
        <v>10</v>
      </c>
      <c r="L693" s="13">
        <v>0</v>
      </c>
      <c r="M693" s="13">
        <v>-5</v>
      </c>
      <c r="N693" s="13">
        <v>-17</v>
      </c>
      <c r="O693" s="13">
        <v>0</v>
      </c>
      <c r="P693" s="13">
        <v>1</v>
      </c>
      <c r="Q693" s="13">
        <v>0</v>
      </c>
      <c r="R693" s="13">
        <v>-1</v>
      </c>
      <c r="S693" s="13">
        <v>-1</v>
      </c>
      <c r="T693" s="13">
        <v>1</v>
      </c>
      <c r="U693" s="13">
        <v>1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1</v>
      </c>
      <c r="AO693" s="13">
        <v>1</v>
      </c>
      <c r="AP693" s="13">
        <v>0</v>
      </c>
      <c r="AQ693" s="13">
        <v>0</v>
      </c>
      <c r="AR693" s="13">
        <v>-1</v>
      </c>
      <c r="AS693" s="13">
        <v>-16</v>
      </c>
    </row>
    <row r="694" spans="1:45" ht="23" customHeight="1">
      <c r="A694" s="13" t="s">
        <v>1465</v>
      </c>
      <c r="B694" s="13" t="s">
        <v>1466</v>
      </c>
      <c r="C694" s="13" t="s">
        <v>2251</v>
      </c>
      <c r="D694" s="13">
        <v>0</v>
      </c>
      <c r="E694" s="13">
        <v>1</v>
      </c>
      <c r="F694" s="13">
        <v>2</v>
      </c>
      <c r="G694" s="13">
        <v>0</v>
      </c>
      <c r="H694" s="13">
        <v>-1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-1</v>
      </c>
    </row>
    <row r="695" spans="1:45" ht="23" customHeight="1">
      <c r="A695" s="13" t="s">
        <v>1467</v>
      </c>
      <c r="B695" s="13" t="s">
        <v>1468</v>
      </c>
      <c r="C695" s="13"/>
      <c r="D695" s="13">
        <v>0</v>
      </c>
      <c r="E695" s="13">
        <v>1</v>
      </c>
      <c r="F695" s="13">
        <v>0</v>
      </c>
      <c r="G695" s="13">
        <v>0</v>
      </c>
      <c r="H695" s="14">
        <v>1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-1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4">
        <v>1</v>
      </c>
    </row>
    <row r="696" spans="1:45" ht="20" customHeight="1">
      <c r="A696" s="13" t="s">
        <v>1469</v>
      </c>
      <c r="B696" s="13" t="s">
        <v>1470</v>
      </c>
      <c r="C696" s="13"/>
      <c r="D696" s="13">
        <v>0</v>
      </c>
      <c r="E696" s="13">
        <v>0</v>
      </c>
      <c r="F696" s="13">
        <v>1</v>
      </c>
      <c r="G696" s="13">
        <v>0</v>
      </c>
      <c r="H696" s="13">
        <v>-1</v>
      </c>
      <c r="I696" s="13">
        <v>0</v>
      </c>
      <c r="J696" s="13">
        <v>1</v>
      </c>
      <c r="K696" s="13">
        <v>1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-1</v>
      </c>
    </row>
    <row r="697" spans="1:45" ht="23" customHeight="1">
      <c r="A697" s="13" t="s">
        <v>1471</v>
      </c>
      <c r="B697" s="13" t="s">
        <v>1472</v>
      </c>
      <c r="C697" s="13"/>
      <c r="D697" s="13">
        <v>0</v>
      </c>
      <c r="E697" s="13">
        <v>1</v>
      </c>
      <c r="F697" s="13">
        <v>1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</row>
    <row r="698" spans="1:45" ht="23" customHeight="1">
      <c r="A698" s="13" t="s">
        <v>1473</v>
      </c>
      <c r="B698" s="13" t="s">
        <v>1474</v>
      </c>
      <c r="C698" s="13"/>
      <c r="D698" s="13">
        <v>0</v>
      </c>
      <c r="E698" s="13">
        <v>1</v>
      </c>
      <c r="F698" s="13">
        <v>1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1</v>
      </c>
      <c r="AP698" s="13">
        <v>0</v>
      </c>
      <c r="AQ698" s="13">
        <v>-1</v>
      </c>
      <c r="AR698" s="13">
        <v>0</v>
      </c>
      <c r="AS698" s="13">
        <v>-1</v>
      </c>
    </row>
    <row r="699" spans="1:45" ht="23" customHeight="1">
      <c r="A699" s="13" t="s">
        <v>1475</v>
      </c>
      <c r="B699" s="13" t="s">
        <v>1301</v>
      </c>
      <c r="C699" s="13"/>
      <c r="D699" s="13">
        <v>0</v>
      </c>
      <c r="E699" s="13">
        <v>1</v>
      </c>
      <c r="F699" s="13">
        <v>2</v>
      </c>
      <c r="G699" s="13">
        <v>0</v>
      </c>
      <c r="H699" s="13">
        <v>-1</v>
      </c>
      <c r="I699" s="13">
        <v>0</v>
      </c>
      <c r="J699" s="13">
        <v>1</v>
      </c>
      <c r="K699" s="13">
        <v>1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-1</v>
      </c>
    </row>
    <row r="700" spans="1:45" ht="23" customHeight="1">
      <c r="A700" s="13" t="s">
        <v>1476</v>
      </c>
      <c r="B700" s="13" t="s">
        <v>1477</v>
      </c>
      <c r="C700" s="13"/>
      <c r="D700" s="13">
        <v>0</v>
      </c>
      <c r="E700" s="13">
        <v>1</v>
      </c>
      <c r="F700" s="13">
        <v>1</v>
      </c>
      <c r="G700" s="13">
        <v>0</v>
      </c>
      <c r="H700" s="13">
        <v>0</v>
      </c>
      <c r="I700" s="13">
        <v>0</v>
      </c>
      <c r="J700" s="13">
        <v>0</v>
      </c>
      <c r="K700" s="13">
        <v>1</v>
      </c>
      <c r="L700" s="13">
        <v>0</v>
      </c>
      <c r="M700" s="13">
        <v>-1</v>
      </c>
      <c r="N700" s="13">
        <v>-1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-1</v>
      </c>
    </row>
    <row r="701" spans="1:45" ht="34" customHeight="1">
      <c r="A701" s="13" t="s">
        <v>1479</v>
      </c>
      <c r="B701" s="13" t="s">
        <v>1480</v>
      </c>
      <c r="C701" s="13" t="s">
        <v>2252</v>
      </c>
      <c r="D701" s="13">
        <v>0</v>
      </c>
      <c r="E701" s="13">
        <v>1</v>
      </c>
      <c r="F701" s="13">
        <v>1</v>
      </c>
      <c r="G701" s="13">
        <v>0</v>
      </c>
      <c r="H701" s="13">
        <v>0</v>
      </c>
      <c r="I701" s="13">
        <v>-2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</row>
    <row r="702" spans="1:45" ht="34" customHeight="1">
      <c r="A702" s="13" t="s">
        <v>1481</v>
      </c>
      <c r="B702" s="13" t="s">
        <v>1482</v>
      </c>
      <c r="C702" s="13" t="s">
        <v>2253</v>
      </c>
      <c r="D702" s="13">
        <v>0</v>
      </c>
      <c r="E702" s="13">
        <v>1</v>
      </c>
      <c r="F702" s="13">
        <v>12</v>
      </c>
      <c r="G702" s="13">
        <v>0</v>
      </c>
      <c r="H702" s="13">
        <v>-11</v>
      </c>
      <c r="I702" s="13">
        <v>-4</v>
      </c>
      <c r="J702" s="13">
        <v>1</v>
      </c>
      <c r="K702" s="13">
        <v>3</v>
      </c>
      <c r="L702" s="13">
        <v>0</v>
      </c>
      <c r="M702" s="13">
        <v>-2</v>
      </c>
      <c r="N702" s="13">
        <v>-1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-13</v>
      </c>
    </row>
    <row r="703" spans="1:45" ht="20" customHeight="1">
      <c r="A703" s="13" t="s">
        <v>1483</v>
      </c>
      <c r="B703" s="13" t="s">
        <v>305</v>
      </c>
      <c r="C703" s="13"/>
      <c r="D703" s="13">
        <v>0</v>
      </c>
      <c r="E703" s="13">
        <v>1</v>
      </c>
      <c r="F703" s="13">
        <v>1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</row>
    <row r="704" spans="1:45" ht="20" customHeight="1">
      <c r="A704" s="13" t="s">
        <v>1484</v>
      </c>
      <c r="B704" s="13" t="s">
        <v>305</v>
      </c>
      <c r="C704" s="13"/>
      <c r="D704" s="13">
        <v>0</v>
      </c>
      <c r="E704" s="13">
        <v>0</v>
      </c>
      <c r="F704" s="13">
        <v>2</v>
      </c>
      <c r="G704" s="13">
        <v>0</v>
      </c>
      <c r="H704" s="13">
        <v>-2</v>
      </c>
      <c r="I704" s="13">
        <v>0</v>
      </c>
      <c r="J704" s="13">
        <v>1</v>
      </c>
      <c r="K704" s="13">
        <v>1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-1</v>
      </c>
    </row>
    <row r="705" spans="1:45" ht="23" customHeight="1">
      <c r="A705" s="13" t="s">
        <v>1486</v>
      </c>
      <c r="B705" s="13" t="s">
        <v>1487</v>
      </c>
      <c r="C705" s="13"/>
      <c r="D705" s="13">
        <v>0</v>
      </c>
      <c r="E705" s="13">
        <v>1</v>
      </c>
      <c r="F705" s="13">
        <v>2</v>
      </c>
      <c r="G705" s="13">
        <v>0</v>
      </c>
      <c r="H705" s="13">
        <v>-1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-1</v>
      </c>
    </row>
    <row r="706" spans="1:45" ht="20" customHeight="1">
      <c r="A706" s="13" t="s">
        <v>1488</v>
      </c>
      <c r="B706" s="13" t="s">
        <v>1489</v>
      </c>
      <c r="C706" s="13"/>
      <c r="D706" s="13">
        <v>0</v>
      </c>
      <c r="E706" s="13">
        <v>1</v>
      </c>
      <c r="F706" s="13">
        <v>2</v>
      </c>
      <c r="G706" s="13">
        <v>0</v>
      </c>
      <c r="H706" s="13">
        <v>-1</v>
      </c>
      <c r="I706" s="13">
        <v>-2</v>
      </c>
      <c r="J706" s="13">
        <v>0</v>
      </c>
      <c r="K706" s="13">
        <v>1</v>
      </c>
      <c r="L706" s="13">
        <v>0</v>
      </c>
      <c r="M706" s="13">
        <v>-1</v>
      </c>
      <c r="N706" s="13">
        <v>-2</v>
      </c>
      <c r="O706" s="13">
        <v>0</v>
      </c>
      <c r="P706" s="13">
        <v>0</v>
      </c>
      <c r="Q706" s="13">
        <v>0</v>
      </c>
      <c r="R706" s="13">
        <v>0</v>
      </c>
      <c r="S706" s="13">
        <v>-1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-2</v>
      </c>
    </row>
    <row r="707" spans="1:45" ht="34" customHeight="1">
      <c r="A707" s="13" t="s">
        <v>1490</v>
      </c>
      <c r="B707" s="13" t="s">
        <v>1491</v>
      </c>
      <c r="C707" s="13" t="s">
        <v>2254</v>
      </c>
      <c r="D707" s="13">
        <v>0</v>
      </c>
      <c r="E707" s="13">
        <v>1</v>
      </c>
      <c r="F707" s="13">
        <v>1</v>
      </c>
      <c r="G707" s="13">
        <v>0</v>
      </c>
      <c r="H707" s="13">
        <v>0</v>
      </c>
      <c r="I707" s="13">
        <v>-1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</row>
    <row r="708" spans="1:45" ht="34" customHeight="1">
      <c r="A708" s="13" t="s">
        <v>1492</v>
      </c>
      <c r="B708" s="13" t="s">
        <v>1493</v>
      </c>
      <c r="C708" s="13" t="s">
        <v>2255</v>
      </c>
      <c r="D708" s="13">
        <v>1</v>
      </c>
      <c r="E708" s="13">
        <v>1</v>
      </c>
      <c r="F708" s="13">
        <v>1</v>
      </c>
      <c r="G708" s="13">
        <v>0</v>
      </c>
      <c r="H708" s="13">
        <v>0</v>
      </c>
      <c r="I708" s="13">
        <v>-1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</row>
    <row r="709" spans="1:45" ht="34" customHeight="1">
      <c r="A709" s="13" t="s">
        <v>1494</v>
      </c>
      <c r="B709" s="13" t="s">
        <v>1495</v>
      </c>
      <c r="C709" s="13" t="s">
        <v>2256</v>
      </c>
      <c r="D709" s="13">
        <v>0</v>
      </c>
      <c r="E709" s="13">
        <v>0</v>
      </c>
      <c r="F709" s="13">
        <v>1</v>
      </c>
      <c r="G709" s="13">
        <v>0</v>
      </c>
      <c r="H709" s="13">
        <v>-1</v>
      </c>
      <c r="I709" s="13">
        <v>-2</v>
      </c>
      <c r="J709" s="13">
        <v>1</v>
      </c>
      <c r="K709" s="13">
        <v>1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-1</v>
      </c>
    </row>
    <row r="710" spans="1:45" ht="23" customHeight="1">
      <c r="A710" s="13" t="s">
        <v>1497</v>
      </c>
      <c r="B710" s="13" t="s">
        <v>1498</v>
      </c>
      <c r="C710" s="13"/>
      <c r="D710" s="13">
        <v>0</v>
      </c>
      <c r="E710" s="13">
        <v>1</v>
      </c>
      <c r="F710" s="13">
        <v>1</v>
      </c>
      <c r="G710" s="13">
        <v>0</v>
      </c>
      <c r="H710" s="13">
        <v>0</v>
      </c>
      <c r="I710" s="13">
        <v>-1</v>
      </c>
      <c r="J710" s="13">
        <v>0</v>
      </c>
      <c r="K710" s="13">
        <v>0</v>
      </c>
      <c r="L710" s="13">
        <v>0</v>
      </c>
      <c r="M710" s="13">
        <v>0</v>
      </c>
      <c r="N710" s="13">
        <v>-1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</row>
    <row r="711" spans="1:45" ht="23" customHeight="1">
      <c r="A711" s="13" t="s">
        <v>1500</v>
      </c>
      <c r="B711" s="13" t="s">
        <v>1501</v>
      </c>
      <c r="C711" s="13" t="s">
        <v>2257</v>
      </c>
      <c r="D711" s="13">
        <v>0</v>
      </c>
      <c r="E711" s="13">
        <v>0</v>
      </c>
      <c r="F711" s="13">
        <v>1</v>
      </c>
      <c r="G711" s="13">
        <v>0</v>
      </c>
      <c r="H711" s="13">
        <v>-1</v>
      </c>
      <c r="I711" s="13">
        <v>-1</v>
      </c>
      <c r="J711" s="13">
        <v>1</v>
      </c>
      <c r="K711" s="13">
        <v>1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-1</v>
      </c>
    </row>
    <row r="712" spans="1:45" ht="20" customHeight="1">
      <c r="A712" s="13" t="s">
        <v>1502</v>
      </c>
      <c r="B712" s="13" t="s">
        <v>522</v>
      </c>
      <c r="C712" s="13" t="s">
        <v>2258</v>
      </c>
      <c r="D712" s="13">
        <v>4</v>
      </c>
      <c r="E712" s="13">
        <v>2</v>
      </c>
      <c r="F712" s="13">
        <v>7</v>
      </c>
      <c r="G712" s="13">
        <v>0</v>
      </c>
      <c r="H712" s="13">
        <v>-5</v>
      </c>
      <c r="I712" s="13">
        <v>-4</v>
      </c>
      <c r="J712" s="13">
        <v>2</v>
      </c>
      <c r="K712" s="13">
        <v>3</v>
      </c>
      <c r="L712" s="13">
        <v>0</v>
      </c>
      <c r="M712" s="13">
        <v>-1</v>
      </c>
      <c r="N712" s="13">
        <v>-3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-6</v>
      </c>
    </row>
    <row r="713" spans="1:45" ht="20" customHeight="1">
      <c r="A713" s="13" t="s">
        <v>1504</v>
      </c>
      <c r="B713" s="13" t="s">
        <v>196</v>
      </c>
      <c r="C713" s="13"/>
      <c r="D713" s="13">
        <v>0</v>
      </c>
      <c r="E713" s="13">
        <v>1</v>
      </c>
      <c r="F713" s="13">
        <v>4</v>
      </c>
      <c r="G713" s="13">
        <v>0</v>
      </c>
      <c r="H713" s="13">
        <v>-3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-2</v>
      </c>
    </row>
    <row r="714" spans="1:45" ht="23" customHeight="1">
      <c r="A714" s="13" t="s">
        <v>1506</v>
      </c>
      <c r="B714" s="13" t="s">
        <v>1507</v>
      </c>
      <c r="C714" s="13"/>
      <c r="D714" s="13">
        <v>0</v>
      </c>
      <c r="E714" s="13">
        <v>2</v>
      </c>
      <c r="F714" s="13">
        <v>10</v>
      </c>
      <c r="G714" s="13">
        <v>0</v>
      </c>
      <c r="H714" s="13">
        <v>-8</v>
      </c>
      <c r="I714" s="13">
        <v>-1</v>
      </c>
      <c r="J714" s="13">
        <v>2</v>
      </c>
      <c r="K714" s="13">
        <v>22</v>
      </c>
      <c r="L714" s="13">
        <v>0</v>
      </c>
      <c r="M714" s="13">
        <v>-20</v>
      </c>
      <c r="N714" s="13">
        <v>-1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-28</v>
      </c>
    </row>
    <row r="715" spans="1:45" ht="23" customHeight="1">
      <c r="A715" s="13" t="s">
        <v>1508</v>
      </c>
      <c r="B715" s="13" t="s">
        <v>1507</v>
      </c>
      <c r="C715" s="13"/>
      <c r="D715" s="13">
        <v>0</v>
      </c>
      <c r="E715" s="13">
        <v>2</v>
      </c>
      <c r="F715" s="13">
        <v>13</v>
      </c>
      <c r="G715" s="13">
        <v>0</v>
      </c>
      <c r="H715" s="13">
        <v>-11</v>
      </c>
      <c r="I715" s="13">
        <v>-1</v>
      </c>
      <c r="J715" s="13">
        <v>2</v>
      </c>
      <c r="K715" s="13">
        <v>21</v>
      </c>
      <c r="L715" s="13">
        <v>0</v>
      </c>
      <c r="M715" s="13">
        <v>-19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-30</v>
      </c>
    </row>
    <row r="716" spans="1:45" ht="23" customHeight="1">
      <c r="A716" s="13" t="s">
        <v>1510</v>
      </c>
      <c r="B716" s="13" t="s">
        <v>1511</v>
      </c>
      <c r="C716" s="13"/>
      <c r="D716" s="13">
        <v>0</v>
      </c>
      <c r="E716" s="13">
        <v>0</v>
      </c>
      <c r="F716" s="13">
        <v>9</v>
      </c>
      <c r="G716" s="13">
        <v>0</v>
      </c>
      <c r="H716" s="13">
        <v>-9</v>
      </c>
      <c r="I716" s="13">
        <v>-4</v>
      </c>
      <c r="J716" s="13">
        <v>2</v>
      </c>
      <c r="K716" s="13">
        <v>3</v>
      </c>
      <c r="L716" s="13">
        <v>0</v>
      </c>
      <c r="M716" s="13">
        <v>-1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-9</v>
      </c>
    </row>
    <row r="717" spans="1:45" ht="20" customHeight="1">
      <c r="A717" s="13" t="s">
        <v>1512</v>
      </c>
      <c r="B717" s="13" t="s">
        <v>1489</v>
      </c>
      <c r="C717" s="13"/>
      <c r="D717" s="13">
        <v>0</v>
      </c>
      <c r="E717" s="13">
        <v>4</v>
      </c>
      <c r="F717" s="13">
        <v>7</v>
      </c>
      <c r="G717" s="13">
        <v>0</v>
      </c>
      <c r="H717" s="13">
        <v>-3</v>
      </c>
      <c r="I717" s="13">
        <v>-5</v>
      </c>
      <c r="J717" s="13">
        <v>3</v>
      </c>
      <c r="K717" s="13">
        <v>3</v>
      </c>
      <c r="L717" s="13">
        <v>0</v>
      </c>
      <c r="M717" s="13">
        <v>0</v>
      </c>
      <c r="N717" s="13">
        <v>-4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-3</v>
      </c>
    </row>
    <row r="718" spans="1:45" ht="34" customHeight="1">
      <c r="A718" s="13" t="s">
        <v>1513</v>
      </c>
      <c r="B718" s="13" t="s">
        <v>1514</v>
      </c>
      <c r="C718" s="13"/>
      <c r="D718" s="13">
        <v>0</v>
      </c>
      <c r="E718" s="13">
        <v>2</v>
      </c>
      <c r="F718" s="13">
        <v>4</v>
      </c>
      <c r="G718" s="13">
        <v>0</v>
      </c>
      <c r="H718" s="13">
        <v>-2</v>
      </c>
      <c r="I718" s="13">
        <v>0</v>
      </c>
      <c r="J718" s="13">
        <v>3</v>
      </c>
      <c r="K718" s="13">
        <v>4</v>
      </c>
      <c r="L718" s="13">
        <v>0</v>
      </c>
      <c r="M718" s="13">
        <v>-1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-3</v>
      </c>
    </row>
    <row r="719" spans="1:45" ht="23" customHeight="1">
      <c r="A719" s="13" t="s">
        <v>1515</v>
      </c>
      <c r="B719" s="13" t="s">
        <v>1511</v>
      </c>
      <c r="C719" s="13"/>
      <c r="D719" s="13">
        <v>0</v>
      </c>
      <c r="E719" s="13">
        <v>1</v>
      </c>
      <c r="F719" s="13">
        <v>3</v>
      </c>
      <c r="G719" s="13">
        <v>0</v>
      </c>
      <c r="H719" s="13">
        <v>-2</v>
      </c>
      <c r="I719" s="13">
        <v>0</v>
      </c>
      <c r="J719" s="13">
        <v>1</v>
      </c>
      <c r="K719" s="13">
        <v>2</v>
      </c>
      <c r="L719" s="13">
        <v>0</v>
      </c>
      <c r="M719" s="13">
        <v>-1</v>
      </c>
      <c r="N719" s="13">
        <v>-3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0</v>
      </c>
      <c r="AS719" s="13">
        <v>-2</v>
      </c>
    </row>
    <row r="720" spans="1:45" ht="23" customHeight="1">
      <c r="A720" s="13" t="s">
        <v>1516</v>
      </c>
      <c r="B720" s="13" t="s">
        <v>1517</v>
      </c>
      <c r="C720" s="13" t="s">
        <v>2259</v>
      </c>
      <c r="D720" s="13">
        <v>0</v>
      </c>
      <c r="E720" s="13">
        <v>1</v>
      </c>
      <c r="F720" s="13">
        <v>1</v>
      </c>
      <c r="G720" s="13">
        <v>0</v>
      </c>
      <c r="H720" s="13">
        <v>0</v>
      </c>
      <c r="I720" s="13">
        <v>-1</v>
      </c>
      <c r="J720" s="13">
        <v>1</v>
      </c>
      <c r="K720" s="13">
        <v>0</v>
      </c>
      <c r="L720" s="13">
        <v>0</v>
      </c>
      <c r="M720" s="14">
        <v>1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4">
        <v>1</v>
      </c>
    </row>
    <row r="721" spans="1:45" ht="23" customHeight="1">
      <c r="A721" s="13" t="s">
        <v>1518</v>
      </c>
      <c r="B721" s="13" t="s">
        <v>1519</v>
      </c>
      <c r="C721" s="13"/>
      <c r="D721" s="13">
        <v>0</v>
      </c>
      <c r="E721" s="13">
        <v>1</v>
      </c>
      <c r="F721" s="13">
        <v>1</v>
      </c>
      <c r="G721" s="13">
        <v>0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</row>
    <row r="722" spans="1:45" ht="20" customHeight="1">
      <c r="A722" s="13" t="s">
        <v>1520</v>
      </c>
      <c r="B722" s="13" t="s">
        <v>1521</v>
      </c>
      <c r="C722" s="13" t="s">
        <v>2260</v>
      </c>
      <c r="D722" s="13">
        <v>0</v>
      </c>
      <c r="E722" s="13">
        <v>1</v>
      </c>
      <c r="F722" s="13">
        <v>6</v>
      </c>
      <c r="G722" s="13">
        <v>0</v>
      </c>
      <c r="H722" s="13">
        <v>-5</v>
      </c>
      <c r="I722" s="13">
        <v>-11</v>
      </c>
      <c r="J722" s="13">
        <v>1</v>
      </c>
      <c r="K722" s="13">
        <v>2</v>
      </c>
      <c r="L722" s="13">
        <v>0</v>
      </c>
      <c r="M722" s="13">
        <v>-1</v>
      </c>
      <c r="N722" s="13">
        <v>-3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-5</v>
      </c>
    </row>
    <row r="723" spans="1:45" ht="20" customHeight="1">
      <c r="A723" s="13" t="s">
        <v>1522</v>
      </c>
      <c r="B723" s="13" t="s">
        <v>151</v>
      </c>
      <c r="C723" s="13" t="s">
        <v>150</v>
      </c>
      <c r="D723" s="13">
        <v>0</v>
      </c>
      <c r="E723" s="13">
        <v>1</v>
      </c>
      <c r="F723" s="13">
        <v>1</v>
      </c>
      <c r="G723" s="13">
        <v>0</v>
      </c>
      <c r="H723" s="13">
        <v>0</v>
      </c>
      <c r="I723" s="13">
        <v>0</v>
      </c>
      <c r="J723" s="13">
        <v>0</v>
      </c>
      <c r="K723" s="13">
        <v>1</v>
      </c>
      <c r="L723" s="13">
        <v>0</v>
      </c>
      <c r="M723" s="13">
        <v>-1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-1</v>
      </c>
    </row>
    <row r="724" spans="1:45" ht="34" customHeight="1">
      <c r="A724" s="13" t="s">
        <v>1523</v>
      </c>
      <c r="B724" s="13" t="s">
        <v>1524</v>
      </c>
      <c r="C724" s="13"/>
      <c r="D724" s="13">
        <v>1</v>
      </c>
      <c r="E724" s="13">
        <v>1</v>
      </c>
      <c r="F724" s="13">
        <v>1</v>
      </c>
      <c r="G724" s="13">
        <v>0</v>
      </c>
      <c r="H724" s="13">
        <v>0</v>
      </c>
      <c r="I724" s="13">
        <v>-7</v>
      </c>
      <c r="J724" s="13">
        <v>1</v>
      </c>
      <c r="K724" s="13">
        <v>1</v>
      </c>
      <c r="L724" s="13">
        <v>0</v>
      </c>
      <c r="M724" s="13">
        <v>0</v>
      </c>
      <c r="N724" s="13">
        <v>-4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</row>
    <row r="725" spans="1:45" ht="34" customHeight="1">
      <c r="A725" s="13" t="s">
        <v>1525</v>
      </c>
      <c r="B725" s="13" t="s">
        <v>1526</v>
      </c>
      <c r="C725" s="13" t="s">
        <v>2261</v>
      </c>
      <c r="D725" s="13">
        <v>0</v>
      </c>
      <c r="E725" s="13">
        <v>1</v>
      </c>
      <c r="F725" s="13">
        <v>1</v>
      </c>
      <c r="G725" s="13">
        <v>0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</row>
    <row r="726" spans="1:45" ht="23" customHeight="1">
      <c r="A726" s="13" t="s">
        <v>1527</v>
      </c>
      <c r="B726" s="13" t="s">
        <v>1528</v>
      </c>
      <c r="C726" s="13" t="s">
        <v>2262</v>
      </c>
      <c r="D726" s="13">
        <v>10</v>
      </c>
      <c r="E726" s="13">
        <v>2</v>
      </c>
      <c r="F726" s="13">
        <v>5</v>
      </c>
      <c r="G726" s="13">
        <v>0</v>
      </c>
      <c r="H726" s="13">
        <v>-3</v>
      </c>
      <c r="I726" s="13">
        <v>0</v>
      </c>
      <c r="J726" s="13">
        <v>1</v>
      </c>
      <c r="K726" s="13">
        <v>6</v>
      </c>
      <c r="L726" s="13">
        <v>0</v>
      </c>
      <c r="M726" s="13">
        <v>-5</v>
      </c>
      <c r="N726" s="13">
        <v>-11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-8</v>
      </c>
    </row>
    <row r="727" spans="1:45" ht="23" customHeight="1">
      <c r="A727" s="13" t="s">
        <v>1529</v>
      </c>
      <c r="B727" s="13" t="s">
        <v>1530</v>
      </c>
      <c r="C727" s="13"/>
      <c r="D727" s="13">
        <v>0</v>
      </c>
      <c r="E727" s="13">
        <v>1</v>
      </c>
      <c r="F727" s="13">
        <v>1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</row>
    <row r="728" spans="1:45" ht="23" customHeight="1">
      <c r="A728" s="13" t="s">
        <v>1531</v>
      </c>
      <c r="B728" s="13" t="s">
        <v>1532</v>
      </c>
      <c r="C728" s="13"/>
      <c r="D728" s="13">
        <v>8</v>
      </c>
      <c r="E728" s="13">
        <v>3</v>
      </c>
      <c r="F728" s="13">
        <v>0</v>
      </c>
      <c r="G728" s="13">
        <v>0</v>
      </c>
      <c r="H728" s="14">
        <v>3</v>
      </c>
      <c r="I728" s="13">
        <v>-13</v>
      </c>
      <c r="J728" s="13">
        <v>2</v>
      </c>
      <c r="K728" s="13">
        <v>2</v>
      </c>
      <c r="L728" s="13">
        <v>0</v>
      </c>
      <c r="M728" s="13">
        <v>0</v>
      </c>
      <c r="N728" s="13">
        <v>-3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4">
        <v>3</v>
      </c>
    </row>
    <row r="729" spans="1:45" ht="23" customHeight="1">
      <c r="A729" s="13" t="s">
        <v>1533</v>
      </c>
      <c r="B729" s="13" t="s">
        <v>1534</v>
      </c>
      <c r="C729" s="13" t="s">
        <v>2263</v>
      </c>
      <c r="D729" s="13">
        <v>0</v>
      </c>
      <c r="E729" s="13">
        <v>2</v>
      </c>
      <c r="F729" s="13">
        <v>0</v>
      </c>
      <c r="G729" s="13">
        <v>0</v>
      </c>
      <c r="H729" s="14">
        <v>2</v>
      </c>
      <c r="I729" s="13">
        <v>-34</v>
      </c>
      <c r="J729" s="13">
        <v>2</v>
      </c>
      <c r="K729" s="13">
        <v>0</v>
      </c>
      <c r="L729" s="13">
        <v>0</v>
      </c>
      <c r="M729" s="14">
        <v>2</v>
      </c>
      <c r="N729" s="13">
        <v>-14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4">
        <v>4</v>
      </c>
    </row>
    <row r="730" spans="1:45" ht="46" customHeight="1">
      <c r="A730" s="13" t="s">
        <v>1535</v>
      </c>
      <c r="B730" s="13" t="s">
        <v>1536</v>
      </c>
      <c r="C730" s="13" t="s">
        <v>2264</v>
      </c>
      <c r="D730" s="13">
        <v>1</v>
      </c>
      <c r="E730" s="13">
        <v>3</v>
      </c>
      <c r="F730" s="13">
        <v>2</v>
      </c>
      <c r="G730" s="13">
        <v>0</v>
      </c>
      <c r="H730" s="14">
        <v>1</v>
      </c>
      <c r="I730" s="13">
        <v>-31</v>
      </c>
      <c r="J730" s="13">
        <v>2</v>
      </c>
      <c r="K730" s="13">
        <v>1</v>
      </c>
      <c r="L730" s="13">
        <v>1</v>
      </c>
      <c r="M730" s="13">
        <v>0</v>
      </c>
      <c r="N730" s="13">
        <v>-16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4">
        <v>1</v>
      </c>
    </row>
    <row r="731" spans="1:45" ht="23" customHeight="1">
      <c r="A731" s="13" t="s">
        <v>1537</v>
      </c>
      <c r="B731" s="13" t="s">
        <v>1538</v>
      </c>
      <c r="C731" s="13" t="s">
        <v>2265</v>
      </c>
      <c r="D731" s="13">
        <v>0</v>
      </c>
      <c r="E731" s="13">
        <v>1</v>
      </c>
      <c r="F731" s="13">
        <v>3</v>
      </c>
      <c r="G731" s="13">
        <v>0</v>
      </c>
      <c r="H731" s="13">
        <v>-2</v>
      </c>
      <c r="I731" s="13">
        <v>-16</v>
      </c>
      <c r="J731" s="13">
        <v>1</v>
      </c>
      <c r="K731" s="13">
        <v>2</v>
      </c>
      <c r="L731" s="13">
        <v>0</v>
      </c>
      <c r="M731" s="13">
        <v>-1</v>
      </c>
      <c r="N731" s="13">
        <v>-7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-3</v>
      </c>
    </row>
    <row r="732" spans="1:45" ht="23" customHeight="1">
      <c r="A732" s="13" t="s">
        <v>1539</v>
      </c>
      <c r="B732" s="13" t="s">
        <v>1540</v>
      </c>
      <c r="C732" s="13" t="s">
        <v>2266</v>
      </c>
      <c r="D732" s="13">
        <v>0</v>
      </c>
      <c r="E732" s="13">
        <v>1</v>
      </c>
      <c r="F732" s="13">
        <v>2</v>
      </c>
      <c r="G732" s="13">
        <v>0</v>
      </c>
      <c r="H732" s="13">
        <v>-1</v>
      </c>
      <c r="I732" s="13">
        <v>-14</v>
      </c>
      <c r="J732" s="13">
        <v>1</v>
      </c>
      <c r="K732" s="13">
        <v>2</v>
      </c>
      <c r="L732" s="13">
        <v>0</v>
      </c>
      <c r="M732" s="13">
        <v>-1</v>
      </c>
      <c r="N732" s="13">
        <v>-4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-2</v>
      </c>
    </row>
    <row r="733" spans="1:45" ht="23" customHeight="1">
      <c r="A733" s="13" t="s">
        <v>1541</v>
      </c>
      <c r="B733" s="13" t="s">
        <v>1542</v>
      </c>
      <c r="C733" s="13"/>
      <c r="D733" s="13">
        <v>0</v>
      </c>
      <c r="E733" s="13">
        <v>1</v>
      </c>
      <c r="F733" s="13">
        <v>1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</row>
    <row r="734" spans="1:45" ht="23" customHeight="1">
      <c r="A734" s="13" t="s">
        <v>1544</v>
      </c>
      <c r="B734" s="13" t="s">
        <v>1545</v>
      </c>
      <c r="C734" s="13"/>
      <c r="D734" s="13">
        <v>13</v>
      </c>
      <c r="E734" s="13">
        <v>1</v>
      </c>
      <c r="F734" s="13">
        <v>1</v>
      </c>
      <c r="G734" s="13">
        <v>0</v>
      </c>
      <c r="H734" s="13">
        <v>0</v>
      </c>
      <c r="I734" s="13">
        <v>0</v>
      </c>
      <c r="J734" s="13">
        <v>1</v>
      </c>
      <c r="K734" s="13">
        <v>1</v>
      </c>
      <c r="L734" s="13">
        <v>0</v>
      </c>
      <c r="M734" s="13">
        <v>0</v>
      </c>
      <c r="N734" s="13">
        <v>-4</v>
      </c>
      <c r="O734" s="13">
        <v>0</v>
      </c>
      <c r="P734" s="13">
        <v>1</v>
      </c>
      <c r="Q734" s="13">
        <v>0</v>
      </c>
      <c r="R734" s="13">
        <v>-1</v>
      </c>
      <c r="S734" s="13">
        <v>0</v>
      </c>
      <c r="T734" s="13">
        <v>1</v>
      </c>
      <c r="U734" s="13">
        <v>1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3">
        <v>1</v>
      </c>
      <c r="AO734" s="13">
        <v>1</v>
      </c>
      <c r="AP734" s="13">
        <v>0</v>
      </c>
      <c r="AQ734" s="13">
        <v>0</v>
      </c>
      <c r="AR734" s="13">
        <v>0</v>
      </c>
      <c r="AS734" s="13">
        <v>0</v>
      </c>
    </row>
    <row r="735" spans="1:45" ht="23" customHeight="1">
      <c r="A735" s="13" t="s">
        <v>1546</v>
      </c>
      <c r="B735" s="13" t="s">
        <v>1547</v>
      </c>
      <c r="C735" s="13" t="s">
        <v>2267</v>
      </c>
      <c r="D735" s="13">
        <v>0</v>
      </c>
      <c r="E735" s="13">
        <v>1</v>
      </c>
      <c r="F735" s="13">
        <v>1</v>
      </c>
      <c r="G735" s="13">
        <v>0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</row>
    <row r="736" spans="1:45" ht="23" customHeight="1">
      <c r="A736" s="13" t="s">
        <v>1549</v>
      </c>
      <c r="B736" s="13" t="s">
        <v>1545</v>
      </c>
      <c r="C736" s="13" t="s">
        <v>2268</v>
      </c>
      <c r="D736" s="13">
        <v>8</v>
      </c>
      <c r="E736" s="13">
        <v>1</v>
      </c>
      <c r="F736" s="13">
        <v>4</v>
      </c>
      <c r="G736" s="13">
        <v>0</v>
      </c>
      <c r="H736" s="13">
        <v>-3</v>
      </c>
      <c r="I736" s="13">
        <v>-10</v>
      </c>
      <c r="J736" s="13">
        <v>1</v>
      </c>
      <c r="K736" s="13">
        <v>2</v>
      </c>
      <c r="L736" s="13">
        <v>0</v>
      </c>
      <c r="M736" s="13">
        <v>-1</v>
      </c>
      <c r="N736" s="13">
        <v>-6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1</v>
      </c>
      <c r="U736" s="13">
        <v>1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1</v>
      </c>
      <c r="AO736" s="13">
        <v>0</v>
      </c>
      <c r="AP736" s="13">
        <v>1</v>
      </c>
      <c r="AQ736" s="13">
        <v>0</v>
      </c>
      <c r="AR736" s="13">
        <v>0</v>
      </c>
      <c r="AS736" s="13">
        <v>-4</v>
      </c>
    </row>
    <row r="737" spans="1:45" ht="23" customHeight="1">
      <c r="A737" s="13" t="s">
        <v>1551</v>
      </c>
      <c r="B737" s="13" t="s">
        <v>1552</v>
      </c>
      <c r="C737" s="13" t="s">
        <v>2269</v>
      </c>
      <c r="D737" s="13">
        <v>0</v>
      </c>
      <c r="E737" s="13">
        <v>1</v>
      </c>
      <c r="F737" s="13">
        <v>4</v>
      </c>
      <c r="G737" s="13">
        <v>0</v>
      </c>
      <c r="H737" s="13">
        <v>-3</v>
      </c>
      <c r="I737" s="13">
        <v>-3</v>
      </c>
      <c r="J737" s="13">
        <v>1</v>
      </c>
      <c r="K737" s="13">
        <v>2</v>
      </c>
      <c r="L737" s="13">
        <v>0</v>
      </c>
      <c r="M737" s="13">
        <v>-1</v>
      </c>
      <c r="N737" s="13">
        <v>-1</v>
      </c>
      <c r="O737" s="13">
        <v>0</v>
      </c>
      <c r="P737" s="13">
        <v>2</v>
      </c>
      <c r="Q737" s="13">
        <v>0</v>
      </c>
      <c r="R737" s="13">
        <v>-2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-1</v>
      </c>
      <c r="AS737" s="13">
        <v>-3</v>
      </c>
    </row>
    <row r="738" spans="1:45" ht="23" customHeight="1">
      <c r="A738" s="13" t="s">
        <v>1554</v>
      </c>
      <c r="B738" s="13" t="s">
        <v>1555</v>
      </c>
      <c r="C738" s="13" t="s">
        <v>2270</v>
      </c>
      <c r="D738" s="13">
        <v>8</v>
      </c>
      <c r="E738" s="13">
        <v>1</v>
      </c>
      <c r="F738" s="13">
        <v>0</v>
      </c>
      <c r="G738" s="13">
        <v>0</v>
      </c>
      <c r="H738" s="14">
        <v>1</v>
      </c>
      <c r="I738" s="13">
        <v>-1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4">
        <v>1</v>
      </c>
    </row>
    <row r="739" spans="1:45" ht="23" customHeight="1">
      <c r="A739" s="13" t="s">
        <v>1557</v>
      </c>
      <c r="B739" s="13" t="s">
        <v>1558</v>
      </c>
      <c r="C739" s="13" t="s">
        <v>2271</v>
      </c>
      <c r="D739" s="13">
        <v>0</v>
      </c>
      <c r="E739" s="13">
        <v>2</v>
      </c>
      <c r="F739" s="13">
        <v>2</v>
      </c>
      <c r="G739" s="13">
        <v>0</v>
      </c>
      <c r="H739" s="13">
        <v>0</v>
      </c>
      <c r="I739" s="13">
        <v>0</v>
      </c>
      <c r="J739" s="13">
        <v>2</v>
      </c>
      <c r="K739" s="13">
        <v>2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4">
        <v>2</v>
      </c>
    </row>
    <row r="740" spans="1:45" ht="23" customHeight="1">
      <c r="A740" s="13" t="s">
        <v>1559</v>
      </c>
      <c r="B740" s="13" t="s">
        <v>1558</v>
      </c>
      <c r="C740" s="13" t="s">
        <v>2272</v>
      </c>
      <c r="D740" s="13">
        <v>3</v>
      </c>
      <c r="E740" s="13">
        <v>2</v>
      </c>
      <c r="F740" s="13">
        <v>1</v>
      </c>
      <c r="G740" s="13">
        <v>0</v>
      </c>
      <c r="H740" s="14">
        <v>1</v>
      </c>
      <c r="I740" s="13">
        <v>-2</v>
      </c>
      <c r="J740" s="13">
        <v>2</v>
      </c>
      <c r="K740" s="13">
        <v>1</v>
      </c>
      <c r="L740" s="13">
        <v>0</v>
      </c>
      <c r="M740" s="14">
        <v>1</v>
      </c>
      <c r="N740" s="13">
        <v>-1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4">
        <v>2</v>
      </c>
    </row>
    <row r="741" spans="1:45" ht="23" customHeight="1">
      <c r="A741" s="13" t="s">
        <v>1560</v>
      </c>
      <c r="B741" s="13" t="s">
        <v>1561</v>
      </c>
      <c r="C741" s="13"/>
      <c r="D741" s="13">
        <v>0</v>
      </c>
      <c r="E741" s="13">
        <v>0</v>
      </c>
      <c r="F741" s="13">
        <v>1</v>
      </c>
      <c r="G741" s="13">
        <v>0</v>
      </c>
      <c r="H741" s="13">
        <v>-1</v>
      </c>
      <c r="I741" s="13">
        <v>-2</v>
      </c>
      <c r="J741" s="13">
        <v>1</v>
      </c>
      <c r="K741" s="13">
        <v>0</v>
      </c>
      <c r="L741" s="13">
        <v>0</v>
      </c>
      <c r="M741" s="14">
        <v>1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</row>
    <row r="742" spans="1:45" ht="34" customHeight="1">
      <c r="A742" s="13" t="s">
        <v>1563</v>
      </c>
      <c r="B742" s="13" t="s">
        <v>1564</v>
      </c>
      <c r="C742" s="13"/>
      <c r="D742" s="13">
        <v>0</v>
      </c>
      <c r="E742" s="13">
        <v>1</v>
      </c>
      <c r="F742" s="13">
        <v>1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-1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</row>
    <row r="743" spans="1:45" ht="34" customHeight="1">
      <c r="A743" s="13" t="s">
        <v>1565</v>
      </c>
      <c r="B743" s="13" t="s">
        <v>1564</v>
      </c>
      <c r="C743" s="13"/>
      <c r="D743" s="13">
        <v>0</v>
      </c>
      <c r="E743" s="13">
        <v>1</v>
      </c>
      <c r="F743" s="13">
        <v>2</v>
      </c>
      <c r="G743" s="13">
        <v>0</v>
      </c>
      <c r="H743" s="13">
        <v>-1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-1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-1</v>
      </c>
    </row>
    <row r="744" spans="1:45" ht="69" customHeight="1">
      <c r="A744" s="13" t="s">
        <v>1566</v>
      </c>
      <c r="B744" s="13" t="s">
        <v>448</v>
      </c>
      <c r="C744" s="13" t="s">
        <v>2273</v>
      </c>
      <c r="D744" s="13">
        <v>42</v>
      </c>
      <c r="E744" s="13">
        <v>1</v>
      </c>
      <c r="F744" s="13">
        <v>6</v>
      </c>
      <c r="G744" s="13">
        <v>0</v>
      </c>
      <c r="H744" s="13">
        <v>-5</v>
      </c>
      <c r="I744" s="13">
        <v>-13</v>
      </c>
      <c r="J744" s="13">
        <v>1</v>
      </c>
      <c r="K744" s="13">
        <v>14</v>
      </c>
      <c r="L744" s="13">
        <v>0</v>
      </c>
      <c r="M744" s="13">
        <v>-13</v>
      </c>
      <c r="N744" s="13">
        <v>-20</v>
      </c>
      <c r="O744" s="13">
        <v>0</v>
      </c>
      <c r="P744" s="13">
        <v>2</v>
      </c>
      <c r="Q744" s="13">
        <v>1</v>
      </c>
      <c r="R744" s="13">
        <v>-3</v>
      </c>
      <c r="S744" s="13">
        <v>-1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-21</v>
      </c>
    </row>
    <row r="745" spans="1:45" ht="23" customHeight="1">
      <c r="A745" s="13" t="s">
        <v>1568</v>
      </c>
      <c r="B745" s="13" t="s">
        <v>1569</v>
      </c>
      <c r="C745" s="13"/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v>0</v>
      </c>
      <c r="J745" s="13">
        <v>1</v>
      </c>
      <c r="K745" s="13">
        <v>1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</row>
    <row r="746" spans="1:45" ht="34" customHeight="1">
      <c r="A746" s="13" t="s">
        <v>1570</v>
      </c>
      <c r="B746" s="13" t="s">
        <v>1571</v>
      </c>
      <c r="C746" s="13"/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1</v>
      </c>
      <c r="K746" s="13">
        <v>1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</row>
    <row r="747" spans="1:45" ht="23" customHeight="1">
      <c r="A747" s="13" t="s">
        <v>1573</v>
      </c>
      <c r="B747" s="13" t="s">
        <v>1574</v>
      </c>
      <c r="C747" s="13"/>
      <c r="D747" s="13">
        <v>1</v>
      </c>
      <c r="E747" s="13">
        <v>1</v>
      </c>
      <c r="F747" s="13">
        <v>5</v>
      </c>
      <c r="G747" s="13">
        <v>0</v>
      </c>
      <c r="H747" s="13">
        <v>-4</v>
      </c>
      <c r="I747" s="13">
        <v>-2</v>
      </c>
      <c r="J747" s="13">
        <v>1</v>
      </c>
      <c r="K747" s="13">
        <v>2</v>
      </c>
      <c r="L747" s="13">
        <v>0</v>
      </c>
      <c r="M747" s="13">
        <v>-1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1</v>
      </c>
      <c r="U747" s="13">
        <v>1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-3</v>
      </c>
    </row>
    <row r="748" spans="1:45" ht="20" customHeight="1">
      <c r="A748" s="13" t="s">
        <v>1575</v>
      </c>
      <c r="B748" s="13" t="s">
        <v>902</v>
      </c>
      <c r="C748" s="13" t="s">
        <v>2274</v>
      </c>
      <c r="D748" s="13">
        <v>0</v>
      </c>
      <c r="E748" s="13">
        <v>1</v>
      </c>
      <c r="F748" s="13">
        <v>8</v>
      </c>
      <c r="G748" s="13">
        <v>0</v>
      </c>
      <c r="H748" s="13">
        <v>-7</v>
      </c>
      <c r="I748" s="13">
        <v>-9</v>
      </c>
      <c r="J748" s="13">
        <v>0</v>
      </c>
      <c r="K748" s="13">
        <v>2</v>
      </c>
      <c r="L748" s="13">
        <v>0</v>
      </c>
      <c r="M748" s="13">
        <v>-2</v>
      </c>
      <c r="N748" s="13">
        <v>-5</v>
      </c>
      <c r="O748" s="13">
        <v>0</v>
      </c>
      <c r="P748" s="13">
        <v>1</v>
      </c>
      <c r="Q748" s="13">
        <v>0</v>
      </c>
      <c r="R748" s="13">
        <v>-1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-10</v>
      </c>
    </row>
    <row r="749" spans="1:45" ht="23" customHeight="1">
      <c r="A749" s="13" t="s">
        <v>1576</v>
      </c>
      <c r="B749" s="13" t="s">
        <v>1577</v>
      </c>
      <c r="C749" s="13"/>
      <c r="D749" s="13">
        <v>0</v>
      </c>
      <c r="E749" s="13">
        <v>1</v>
      </c>
      <c r="F749" s="13">
        <v>2</v>
      </c>
      <c r="G749" s="13">
        <v>0</v>
      </c>
      <c r="H749" s="13">
        <v>-1</v>
      </c>
      <c r="I749" s="13">
        <v>0</v>
      </c>
      <c r="J749" s="13">
        <v>0</v>
      </c>
      <c r="K749" s="13">
        <v>2</v>
      </c>
      <c r="L749" s="13">
        <v>0</v>
      </c>
      <c r="M749" s="13">
        <v>-2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0</v>
      </c>
      <c r="AP749" s="13">
        <v>0</v>
      </c>
      <c r="AQ749" s="13">
        <v>0</v>
      </c>
      <c r="AR749" s="13">
        <v>0</v>
      </c>
      <c r="AS749" s="13">
        <v>-3</v>
      </c>
    </row>
    <row r="750" spans="1:45" ht="23" customHeight="1">
      <c r="A750" s="13" t="s">
        <v>1578</v>
      </c>
      <c r="B750" s="13" t="s">
        <v>1579</v>
      </c>
      <c r="C750" s="13"/>
      <c r="D750" s="13">
        <v>0</v>
      </c>
      <c r="E750" s="13">
        <v>0</v>
      </c>
      <c r="F750" s="13">
        <v>1</v>
      </c>
      <c r="G750" s="13">
        <v>0</v>
      </c>
      <c r="H750" s="13">
        <v>-1</v>
      </c>
      <c r="I750" s="13">
        <v>0</v>
      </c>
      <c r="J750" s="13">
        <v>1</v>
      </c>
      <c r="K750" s="13">
        <v>1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-1</v>
      </c>
    </row>
    <row r="751" spans="1:45" ht="23" customHeight="1">
      <c r="A751" s="13" t="s">
        <v>1580</v>
      </c>
      <c r="B751" s="13" t="s">
        <v>1581</v>
      </c>
      <c r="C751" s="13" t="s">
        <v>2275</v>
      </c>
      <c r="D751" s="13">
        <v>0</v>
      </c>
      <c r="E751" s="13">
        <v>0</v>
      </c>
      <c r="F751" s="13">
        <v>3</v>
      </c>
      <c r="G751" s="13">
        <v>0</v>
      </c>
      <c r="H751" s="13">
        <v>-3</v>
      </c>
      <c r="I751" s="13">
        <v>0</v>
      </c>
      <c r="J751" s="13">
        <v>1</v>
      </c>
      <c r="K751" s="13">
        <v>1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-3</v>
      </c>
    </row>
    <row r="752" spans="1:45" ht="34" customHeight="1">
      <c r="A752" s="13" t="s">
        <v>1582</v>
      </c>
      <c r="B752" s="13" t="s">
        <v>1583</v>
      </c>
      <c r="C752" s="13" t="s">
        <v>2276</v>
      </c>
      <c r="D752" s="13">
        <v>0</v>
      </c>
      <c r="E752" s="13">
        <v>1</v>
      </c>
      <c r="F752" s="13">
        <v>5</v>
      </c>
      <c r="G752" s="13">
        <v>0</v>
      </c>
      <c r="H752" s="13">
        <v>-4</v>
      </c>
      <c r="I752" s="13">
        <v>-2</v>
      </c>
      <c r="J752" s="13">
        <v>1</v>
      </c>
      <c r="K752" s="13">
        <v>2</v>
      </c>
      <c r="L752" s="13">
        <v>0</v>
      </c>
      <c r="M752" s="13">
        <v>-1</v>
      </c>
      <c r="N752" s="13">
        <v>-1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-3</v>
      </c>
    </row>
    <row r="753" spans="1:45" ht="34" customHeight="1">
      <c r="A753" s="13" t="s">
        <v>1584</v>
      </c>
      <c r="B753" s="13" t="s">
        <v>1585</v>
      </c>
      <c r="C753" s="13"/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-2</v>
      </c>
      <c r="J753" s="13">
        <v>1</v>
      </c>
      <c r="K753" s="13">
        <v>1</v>
      </c>
      <c r="L753" s="13">
        <v>0</v>
      </c>
      <c r="M753" s="13">
        <v>0</v>
      </c>
      <c r="N753" s="13">
        <v>-1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1</v>
      </c>
      <c r="U753" s="13">
        <v>1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</row>
    <row r="754" spans="1:45" ht="23" customHeight="1">
      <c r="A754" s="13" t="s">
        <v>1586</v>
      </c>
      <c r="B754" s="13" t="s">
        <v>1587</v>
      </c>
      <c r="C754" s="13" t="s">
        <v>2277</v>
      </c>
      <c r="D754" s="13">
        <v>0</v>
      </c>
      <c r="E754" s="13">
        <v>1</v>
      </c>
      <c r="F754" s="13">
        <v>2</v>
      </c>
      <c r="G754" s="13">
        <v>0</v>
      </c>
      <c r="H754" s="13">
        <v>-1</v>
      </c>
      <c r="I754" s="13">
        <v>-4</v>
      </c>
      <c r="J754" s="13">
        <v>1</v>
      </c>
      <c r="K754" s="13">
        <v>1</v>
      </c>
      <c r="L754" s="13">
        <v>0</v>
      </c>
      <c r="M754" s="13">
        <v>0</v>
      </c>
      <c r="N754" s="13">
        <v>-1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-1</v>
      </c>
    </row>
    <row r="755" spans="1:45" ht="20" customHeight="1">
      <c r="A755" s="13" t="s">
        <v>1588</v>
      </c>
      <c r="B755" s="13" t="s">
        <v>1589</v>
      </c>
      <c r="C755" s="13" t="s">
        <v>2278</v>
      </c>
      <c r="D755" s="13">
        <v>0</v>
      </c>
      <c r="E755" s="13">
        <v>1</v>
      </c>
      <c r="F755" s="13">
        <v>6</v>
      </c>
      <c r="G755" s="13">
        <v>0</v>
      </c>
      <c r="H755" s="13">
        <v>-5</v>
      </c>
      <c r="I755" s="13">
        <v>0</v>
      </c>
      <c r="J755" s="13">
        <v>1</v>
      </c>
      <c r="K755" s="13">
        <v>1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-3</v>
      </c>
    </row>
    <row r="756" spans="1:45" ht="34" customHeight="1">
      <c r="A756" s="13" t="s">
        <v>1590</v>
      </c>
      <c r="B756" s="13" t="s">
        <v>193</v>
      </c>
      <c r="C756" s="13" t="s">
        <v>2279</v>
      </c>
      <c r="D756" s="13">
        <v>14</v>
      </c>
      <c r="E756" s="13">
        <v>1</v>
      </c>
      <c r="F756" s="13">
        <v>2</v>
      </c>
      <c r="G756" s="13">
        <v>0</v>
      </c>
      <c r="H756" s="13">
        <v>-1</v>
      </c>
      <c r="I756" s="13">
        <v>-2</v>
      </c>
      <c r="J756" s="13">
        <v>4</v>
      </c>
      <c r="K756" s="13">
        <v>1</v>
      </c>
      <c r="L756" s="13">
        <v>1</v>
      </c>
      <c r="M756" s="14">
        <v>2</v>
      </c>
      <c r="N756" s="13">
        <v>-6</v>
      </c>
      <c r="O756" s="13">
        <v>0</v>
      </c>
      <c r="P756" s="13">
        <v>2</v>
      </c>
      <c r="Q756" s="13">
        <v>0</v>
      </c>
      <c r="R756" s="13">
        <v>-2</v>
      </c>
      <c r="S756" s="13">
        <v>-3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-1</v>
      </c>
      <c r="AS756" s="13">
        <v>-1</v>
      </c>
    </row>
    <row r="757" spans="1:45" ht="34" customHeight="1">
      <c r="A757" s="13" t="s">
        <v>1591</v>
      </c>
      <c r="B757" s="13" t="s">
        <v>1592</v>
      </c>
      <c r="C757" s="13" t="s">
        <v>2280</v>
      </c>
      <c r="D757" s="13">
        <v>14</v>
      </c>
      <c r="E757" s="13">
        <v>2</v>
      </c>
      <c r="F757" s="13">
        <v>2</v>
      </c>
      <c r="G757" s="13">
        <v>0</v>
      </c>
      <c r="H757" s="13">
        <v>0</v>
      </c>
      <c r="I757" s="13">
        <v>-2</v>
      </c>
      <c r="J757" s="13">
        <v>3</v>
      </c>
      <c r="K757" s="13">
        <v>1</v>
      </c>
      <c r="L757" s="13">
        <v>1</v>
      </c>
      <c r="M757" s="14">
        <v>1</v>
      </c>
      <c r="N757" s="13">
        <v>-6</v>
      </c>
      <c r="O757" s="13">
        <v>0</v>
      </c>
      <c r="P757" s="13">
        <v>2</v>
      </c>
      <c r="Q757" s="13">
        <v>0</v>
      </c>
      <c r="R757" s="13">
        <v>-2</v>
      </c>
      <c r="S757" s="13">
        <v>-3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-1</v>
      </c>
      <c r="AS757" s="13">
        <v>-1</v>
      </c>
    </row>
    <row r="758" spans="1:45" ht="34" customHeight="1">
      <c r="A758" s="13" t="s">
        <v>1594</v>
      </c>
      <c r="B758" s="13" t="s">
        <v>1595</v>
      </c>
      <c r="C758" s="13"/>
      <c r="D758" s="13">
        <v>0</v>
      </c>
      <c r="E758" s="13">
        <v>1</v>
      </c>
      <c r="F758" s="13">
        <v>3</v>
      </c>
      <c r="G758" s="13">
        <v>0</v>
      </c>
      <c r="H758" s="13">
        <v>-2</v>
      </c>
      <c r="I758" s="13">
        <v>-3</v>
      </c>
      <c r="J758" s="13">
        <v>2</v>
      </c>
      <c r="K758" s="13">
        <v>2</v>
      </c>
      <c r="L758" s="13">
        <v>0</v>
      </c>
      <c r="M758" s="13">
        <v>0</v>
      </c>
      <c r="N758" s="13">
        <v>-4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-2</v>
      </c>
    </row>
    <row r="759" spans="1:45" ht="23" customHeight="1">
      <c r="A759" s="13" t="s">
        <v>1596</v>
      </c>
      <c r="B759" s="13" t="s">
        <v>1597</v>
      </c>
      <c r="C759" s="13" t="s">
        <v>2281</v>
      </c>
      <c r="D759" s="13">
        <v>0</v>
      </c>
      <c r="E759" s="13">
        <v>5</v>
      </c>
      <c r="F759" s="13">
        <v>48</v>
      </c>
      <c r="G759" s="13">
        <v>0</v>
      </c>
      <c r="H759" s="13">
        <v>-43</v>
      </c>
      <c r="I759" s="13">
        <v>-13</v>
      </c>
      <c r="J759" s="13">
        <v>5</v>
      </c>
      <c r="K759" s="13">
        <v>5</v>
      </c>
      <c r="L759" s="13">
        <v>0</v>
      </c>
      <c r="M759" s="13">
        <v>0</v>
      </c>
      <c r="N759" s="13">
        <v>-5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-1</v>
      </c>
    </row>
    <row r="760" spans="1:45" ht="34" customHeight="1">
      <c r="A760" s="13" t="s">
        <v>1598</v>
      </c>
      <c r="B760" s="13" t="s">
        <v>1599</v>
      </c>
      <c r="C760" s="13" t="s">
        <v>2282</v>
      </c>
      <c r="D760" s="13">
        <v>0</v>
      </c>
      <c r="E760" s="13">
        <v>1</v>
      </c>
      <c r="F760" s="13">
        <v>4</v>
      </c>
      <c r="G760" s="13">
        <v>0</v>
      </c>
      <c r="H760" s="13">
        <v>-3</v>
      </c>
      <c r="I760" s="13">
        <v>0</v>
      </c>
      <c r="J760" s="13">
        <v>0</v>
      </c>
      <c r="K760" s="13">
        <v>1</v>
      </c>
      <c r="L760" s="13">
        <v>0</v>
      </c>
      <c r="M760" s="13">
        <v>-1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-4</v>
      </c>
    </row>
    <row r="761" spans="1:45" ht="20" customHeight="1">
      <c r="A761" s="13" t="s">
        <v>1600</v>
      </c>
      <c r="B761" s="13" t="s">
        <v>1601</v>
      </c>
      <c r="C761" s="13"/>
      <c r="D761" s="13">
        <v>0</v>
      </c>
      <c r="E761" s="13">
        <v>1</v>
      </c>
      <c r="F761" s="13">
        <v>3</v>
      </c>
      <c r="G761" s="13">
        <v>0</v>
      </c>
      <c r="H761" s="13">
        <v>-2</v>
      </c>
      <c r="I761" s="13">
        <v>-3</v>
      </c>
      <c r="J761" s="13">
        <v>1</v>
      </c>
      <c r="K761" s="13">
        <v>1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-2</v>
      </c>
    </row>
    <row r="762" spans="1:45" ht="20" customHeight="1">
      <c r="A762" s="13" t="s">
        <v>1602</v>
      </c>
      <c r="B762" s="13" t="s">
        <v>1603</v>
      </c>
      <c r="C762" s="13" t="s">
        <v>2283</v>
      </c>
      <c r="D762" s="13">
        <v>0</v>
      </c>
      <c r="E762" s="13">
        <v>1</v>
      </c>
      <c r="F762" s="13">
        <v>1</v>
      </c>
      <c r="G762" s="13">
        <v>0</v>
      </c>
      <c r="H762" s="13">
        <v>0</v>
      </c>
      <c r="I762" s="13">
        <v>-4</v>
      </c>
      <c r="J762" s="13">
        <v>1</v>
      </c>
      <c r="K762" s="13">
        <v>1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</row>
    <row r="763" spans="1:45" ht="23" customHeight="1">
      <c r="A763" s="13" t="s">
        <v>1604</v>
      </c>
      <c r="B763" s="13" t="s">
        <v>1605</v>
      </c>
      <c r="C763" s="13" t="s">
        <v>2284</v>
      </c>
      <c r="D763" s="13">
        <v>0</v>
      </c>
      <c r="E763" s="13">
        <v>1</v>
      </c>
      <c r="F763" s="13">
        <v>2</v>
      </c>
      <c r="G763" s="13">
        <v>0</v>
      </c>
      <c r="H763" s="13">
        <v>-1</v>
      </c>
      <c r="I763" s="13">
        <v>-1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1</v>
      </c>
      <c r="AP763" s="13">
        <v>0</v>
      </c>
      <c r="AQ763" s="13">
        <v>-1</v>
      </c>
      <c r="AR763" s="13">
        <v>0</v>
      </c>
      <c r="AS763" s="13">
        <v>-2</v>
      </c>
    </row>
    <row r="764" spans="1:45" ht="23" customHeight="1">
      <c r="A764" s="13" t="s">
        <v>1606</v>
      </c>
      <c r="B764" s="13" t="s">
        <v>1607</v>
      </c>
      <c r="C764" s="13" t="s">
        <v>2285</v>
      </c>
      <c r="D764" s="13">
        <v>0</v>
      </c>
      <c r="E764" s="13">
        <v>1</v>
      </c>
      <c r="F764" s="13">
        <v>4</v>
      </c>
      <c r="G764" s="13">
        <v>0</v>
      </c>
      <c r="H764" s="13">
        <v>-3</v>
      </c>
      <c r="I764" s="13">
        <v>0</v>
      </c>
      <c r="J764" s="13">
        <v>0</v>
      </c>
      <c r="K764" s="13">
        <v>1</v>
      </c>
      <c r="L764" s="13">
        <v>0</v>
      </c>
      <c r="M764" s="13">
        <v>-1</v>
      </c>
      <c r="N764" s="13">
        <v>-1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-1</v>
      </c>
    </row>
    <row r="765" spans="1:45" ht="23" customHeight="1">
      <c r="A765" s="13" t="s">
        <v>1608</v>
      </c>
      <c r="B765" s="13" t="s">
        <v>1607</v>
      </c>
      <c r="C765" s="13"/>
      <c r="D765" s="13">
        <v>0</v>
      </c>
      <c r="E765" s="13">
        <v>0</v>
      </c>
      <c r="F765" s="13">
        <v>1</v>
      </c>
      <c r="G765" s="13">
        <v>0</v>
      </c>
      <c r="H765" s="13">
        <v>-1</v>
      </c>
      <c r="I765" s="13">
        <v>0</v>
      </c>
      <c r="J765" s="13">
        <v>1</v>
      </c>
      <c r="K765" s="13">
        <v>1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-1</v>
      </c>
    </row>
    <row r="766" spans="1:45" ht="34" customHeight="1">
      <c r="A766" s="13" t="s">
        <v>1609</v>
      </c>
      <c r="B766" s="13" t="s">
        <v>1610</v>
      </c>
      <c r="C766" s="13" t="s">
        <v>2286</v>
      </c>
      <c r="D766" s="13">
        <v>0</v>
      </c>
      <c r="E766" s="13">
        <v>1</v>
      </c>
      <c r="F766" s="13">
        <v>1</v>
      </c>
      <c r="G766" s="13">
        <v>0</v>
      </c>
      <c r="H766" s="13">
        <v>0</v>
      </c>
      <c r="I766" s="13">
        <v>0</v>
      </c>
      <c r="J766" s="13">
        <v>0</v>
      </c>
      <c r="K766" s="13">
        <v>1</v>
      </c>
      <c r="L766" s="13">
        <v>0</v>
      </c>
      <c r="M766" s="13">
        <v>-1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-1</v>
      </c>
    </row>
    <row r="767" spans="1:45" ht="20" customHeight="1">
      <c r="A767" s="13" t="s">
        <v>1611</v>
      </c>
      <c r="B767" s="13" t="s">
        <v>1612</v>
      </c>
      <c r="C767" s="13"/>
      <c r="D767" s="13">
        <v>0</v>
      </c>
      <c r="E767" s="13">
        <v>1</v>
      </c>
      <c r="F767" s="13">
        <v>1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</row>
    <row r="768" spans="1:45" ht="20" customHeight="1">
      <c r="A768" s="13" t="s">
        <v>1613</v>
      </c>
      <c r="B768" s="13" t="s">
        <v>196</v>
      </c>
      <c r="C768" s="13"/>
      <c r="D768" s="13">
        <v>0</v>
      </c>
      <c r="E768" s="13">
        <v>1</v>
      </c>
      <c r="F768" s="13">
        <v>2</v>
      </c>
      <c r="G768" s="13">
        <v>0</v>
      </c>
      <c r="H768" s="13">
        <v>-1</v>
      </c>
      <c r="I768" s="13">
        <v>0</v>
      </c>
      <c r="J768" s="13">
        <v>0</v>
      </c>
      <c r="K768" s="13">
        <v>1</v>
      </c>
      <c r="L768" s="13">
        <v>0</v>
      </c>
      <c r="M768" s="13">
        <v>-1</v>
      </c>
      <c r="N768" s="13">
        <v>-1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-2</v>
      </c>
    </row>
    <row r="769" spans="1:45" ht="20" customHeight="1">
      <c r="A769" s="13" t="s">
        <v>1614</v>
      </c>
      <c r="B769" s="13" t="s">
        <v>196</v>
      </c>
      <c r="C769" s="13"/>
      <c r="D769" s="13">
        <v>5</v>
      </c>
      <c r="E769" s="13">
        <v>1</v>
      </c>
      <c r="F769" s="13">
        <v>0</v>
      </c>
      <c r="G769" s="13">
        <v>0</v>
      </c>
      <c r="H769" s="14">
        <v>1</v>
      </c>
      <c r="I769" s="13">
        <v>-1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4">
        <v>1</v>
      </c>
    </row>
    <row r="770" spans="1:45" ht="23" customHeight="1">
      <c r="A770" s="13" t="s">
        <v>1616</v>
      </c>
      <c r="B770" s="13" t="s">
        <v>1617</v>
      </c>
      <c r="C770" s="13"/>
      <c r="D770" s="13">
        <v>0</v>
      </c>
      <c r="E770" s="13">
        <v>1</v>
      </c>
      <c r="F770" s="13">
        <v>2</v>
      </c>
      <c r="G770" s="13">
        <v>0</v>
      </c>
      <c r="H770" s="13">
        <v>-1</v>
      </c>
      <c r="I770" s="13">
        <v>0</v>
      </c>
      <c r="J770" s="13">
        <v>1</v>
      </c>
      <c r="K770" s="13">
        <v>1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</row>
    <row r="771" spans="1:45" ht="23" customHeight="1">
      <c r="A771" s="13" t="s">
        <v>1619</v>
      </c>
      <c r="B771" s="13" t="s">
        <v>1620</v>
      </c>
      <c r="C771" s="13"/>
      <c r="D771" s="13">
        <v>0</v>
      </c>
      <c r="E771" s="13">
        <v>1</v>
      </c>
      <c r="F771" s="13">
        <v>5</v>
      </c>
      <c r="G771" s="13">
        <v>0</v>
      </c>
      <c r="H771" s="13">
        <v>-4</v>
      </c>
      <c r="I771" s="13">
        <v>-6</v>
      </c>
      <c r="J771" s="13">
        <v>1</v>
      </c>
      <c r="K771" s="13">
        <v>1</v>
      </c>
      <c r="L771" s="13">
        <v>0</v>
      </c>
      <c r="M771" s="13">
        <v>0</v>
      </c>
      <c r="N771" s="13">
        <v>-1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-4</v>
      </c>
    </row>
    <row r="772" spans="1:45" ht="34" customHeight="1">
      <c r="A772" s="13" t="s">
        <v>1621</v>
      </c>
      <c r="B772" s="13" t="s">
        <v>1622</v>
      </c>
      <c r="C772" s="13"/>
      <c r="D772" s="13">
        <v>0</v>
      </c>
      <c r="E772" s="13">
        <v>2</v>
      </c>
      <c r="F772" s="13">
        <v>5</v>
      </c>
      <c r="G772" s="13">
        <v>0</v>
      </c>
      <c r="H772" s="13">
        <v>-3</v>
      </c>
      <c r="I772" s="13">
        <v>-4</v>
      </c>
      <c r="J772" s="13">
        <v>1</v>
      </c>
      <c r="K772" s="13">
        <v>1</v>
      </c>
      <c r="L772" s="13">
        <v>0</v>
      </c>
      <c r="M772" s="13">
        <v>0</v>
      </c>
      <c r="N772" s="13">
        <v>-1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-3</v>
      </c>
    </row>
    <row r="773" spans="1:45" ht="23" customHeight="1">
      <c r="A773" s="13" t="s">
        <v>1623</v>
      </c>
      <c r="B773" s="13" t="s">
        <v>259</v>
      </c>
      <c r="C773" s="13" t="s">
        <v>2287</v>
      </c>
      <c r="D773" s="13">
        <v>0</v>
      </c>
      <c r="E773" s="13">
        <v>1</v>
      </c>
      <c r="F773" s="13">
        <v>1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</row>
    <row r="774" spans="1:45" ht="23" customHeight="1">
      <c r="A774" s="13" t="s">
        <v>1624</v>
      </c>
      <c r="B774" s="13" t="s">
        <v>259</v>
      </c>
      <c r="C774" s="13" t="s">
        <v>2288</v>
      </c>
      <c r="D774" s="13">
        <v>0</v>
      </c>
      <c r="E774" s="13">
        <v>1</v>
      </c>
      <c r="F774" s="13">
        <v>1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</row>
    <row r="775" spans="1:45" ht="23" customHeight="1">
      <c r="A775" s="13" t="s">
        <v>1625</v>
      </c>
      <c r="B775" s="13" t="s">
        <v>1407</v>
      </c>
      <c r="C775" s="13"/>
      <c r="D775" s="13">
        <v>0</v>
      </c>
      <c r="E775" s="13">
        <v>0</v>
      </c>
      <c r="F775" s="13">
        <v>6</v>
      </c>
      <c r="G775" s="13">
        <v>0</v>
      </c>
      <c r="H775" s="13">
        <v>-6</v>
      </c>
      <c r="I775" s="13">
        <v>-6</v>
      </c>
      <c r="J775" s="13">
        <v>1</v>
      </c>
      <c r="K775" s="13">
        <v>1</v>
      </c>
      <c r="L775" s="13">
        <v>0</v>
      </c>
      <c r="M775" s="13">
        <v>0</v>
      </c>
      <c r="N775" s="13">
        <v>-2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-6</v>
      </c>
    </row>
    <row r="776" spans="1:45" ht="23" customHeight="1">
      <c r="A776" s="13" t="s">
        <v>1626</v>
      </c>
      <c r="B776" s="13" t="s">
        <v>1407</v>
      </c>
      <c r="C776" s="13" t="s">
        <v>2289</v>
      </c>
      <c r="D776" s="13">
        <v>0</v>
      </c>
      <c r="E776" s="13">
        <v>1</v>
      </c>
      <c r="F776" s="13">
        <v>1</v>
      </c>
      <c r="G776" s="13">
        <v>0</v>
      </c>
      <c r="H776" s="13">
        <v>0</v>
      </c>
      <c r="I776" s="13">
        <v>-1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</row>
    <row r="777" spans="1:45" ht="23" customHeight="1">
      <c r="A777" s="13" t="s">
        <v>1627</v>
      </c>
      <c r="B777" s="13" t="s">
        <v>1628</v>
      </c>
      <c r="C777" s="13"/>
      <c r="D777" s="13">
        <v>0</v>
      </c>
      <c r="E777" s="13">
        <v>1</v>
      </c>
      <c r="F777" s="13">
        <v>1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</row>
    <row r="778" spans="1:45" ht="23" customHeight="1">
      <c r="A778" s="13" t="s">
        <v>1629</v>
      </c>
      <c r="B778" s="13" t="s">
        <v>1630</v>
      </c>
      <c r="C778" s="13"/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1</v>
      </c>
      <c r="K778" s="13">
        <v>1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</row>
    <row r="779" spans="1:45" ht="23" customHeight="1">
      <c r="A779" s="13" t="s">
        <v>1632</v>
      </c>
      <c r="B779" s="13" t="s">
        <v>1633</v>
      </c>
      <c r="C779" s="13" t="s">
        <v>2290</v>
      </c>
      <c r="D779" s="13">
        <v>5</v>
      </c>
      <c r="E779" s="13">
        <v>1</v>
      </c>
      <c r="F779" s="13">
        <v>2</v>
      </c>
      <c r="G779" s="13">
        <v>0</v>
      </c>
      <c r="H779" s="13">
        <v>-1</v>
      </c>
      <c r="I779" s="13">
        <v>-1</v>
      </c>
      <c r="J779" s="13">
        <v>1</v>
      </c>
      <c r="K779" s="13">
        <v>1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0</v>
      </c>
      <c r="AP779" s="13">
        <v>0</v>
      </c>
      <c r="AQ779" s="13">
        <v>0</v>
      </c>
      <c r="AR779" s="13">
        <v>0</v>
      </c>
      <c r="AS779" s="13">
        <v>-1</v>
      </c>
    </row>
    <row r="780" spans="1:45" ht="23" customHeight="1">
      <c r="A780" s="13" t="s">
        <v>1634</v>
      </c>
      <c r="B780" s="13" t="s">
        <v>1635</v>
      </c>
      <c r="C780" s="13"/>
      <c r="D780" s="13">
        <v>0</v>
      </c>
      <c r="E780" s="13">
        <v>1</v>
      </c>
      <c r="F780" s="13">
        <v>2</v>
      </c>
      <c r="G780" s="13">
        <v>0</v>
      </c>
      <c r="H780" s="13">
        <v>-1</v>
      </c>
      <c r="I780" s="13">
        <v>0</v>
      </c>
      <c r="J780" s="13">
        <v>1</v>
      </c>
      <c r="K780" s="13">
        <v>1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-1</v>
      </c>
    </row>
    <row r="781" spans="1:45" ht="23" customHeight="1">
      <c r="A781" s="13" t="s">
        <v>1636</v>
      </c>
      <c r="B781" s="13" t="s">
        <v>1637</v>
      </c>
      <c r="C781" s="13" t="s">
        <v>2291</v>
      </c>
      <c r="D781" s="13">
        <v>2</v>
      </c>
      <c r="E781" s="13">
        <v>1</v>
      </c>
      <c r="F781" s="13">
        <v>6</v>
      </c>
      <c r="G781" s="13">
        <v>0</v>
      </c>
      <c r="H781" s="13">
        <v>-5</v>
      </c>
      <c r="I781" s="13">
        <v>0</v>
      </c>
      <c r="J781" s="13">
        <v>1</v>
      </c>
      <c r="K781" s="13">
        <v>1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-2</v>
      </c>
    </row>
    <row r="782" spans="1:45" ht="34" customHeight="1">
      <c r="A782" s="13" t="s">
        <v>1638</v>
      </c>
      <c r="B782" s="13" t="s">
        <v>1639</v>
      </c>
      <c r="C782" s="13"/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1</v>
      </c>
      <c r="K782" s="13">
        <v>1</v>
      </c>
      <c r="L782" s="13">
        <v>0</v>
      </c>
      <c r="M782" s="13">
        <v>0</v>
      </c>
      <c r="N782" s="13">
        <v>-1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</row>
    <row r="783" spans="1:45" ht="34" customHeight="1">
      <c r="A783" s="13" t="s">
        <v>1640</v>
      </c>
      <c r="B783" s="13" t="s">
        <v>817</v>
      </c>
      <c r="C783" s="13"/>
      <c r="D783" s="13">
        <v>0</v>
      </c>
      <c r="E783" s="13">
        <v>1</v>
      </c>
      <c r="F783" s="13">
        <v>3</v>
      </c>
      <c r="G783" s="13">
        <v>0</v>
      </c>
      <c r="H783" s="13">
        <v>-2</v>
      </c>
      <c r="I783" s="13">
        <v>0</v>
      </c>
      <c r="J783" s="13">
        <v>0</v>
      </c>
      <c r="K783" s="13">
        <v>1</v>
      </c>
      <c r="L783" s="13">
        <v>0</v>
      </c>
      <c r="M783" s="13">
        <v>-1</v>
      </c>
      <c r="N783" s="13">
        <v>-1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-2</v>
      </c>
    </row>
    <row r="784" spans="1:45" ht="20" customHeight="1">
      <c r="A784" s="13" t="s">
        <v>1641</v>
      </c>
      <c r="B784" s="13" t="s">
        <v>1642</v>
      </c>
      <c r="C784" s="13"/>
      <c r="D784" s="13">
        <v>0</v>
      </c>
      <c r="E784" s="13">
        <v>1</v>
      </c>
      <c r="F784" s="13">
        <v>2</v>
      </c>
      <c r="G784" s="13">
        <v>0</v>
      </c>
      <c r="H784" s="13">
        <v>-1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</row>
    <row r="785" spans="1:45" ht="34" customHeight="1">
      <c r="A785" s="13" t="s">
        <v>1643</v>
      </c>
      <c r="B785" s="13" t="s">
        <v>1644</v>
      </c>
      <c r="C785" s="13" t="s">
        <v>2292</v>
      </c>
      <c r="D785" s="13">
        <v>1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1</v>
      </c>
      <c r="K785" s="13">
        <v>1</v>
      </c>
      <c r="L785" s="13">
        <v>0</v>
      </c>
      <c r="M785" s="13">
        <v>0</v>
      </c>
      <c r="N785" s="13">
        <v>-2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-1</v>
      </c>
      <c r="AS785" s="13">
        <v>0</v>
      </c>
    </row>
    <row r="786" spans="1:45" ht="23" customHeight="1">
      <c r="A786" s="13" t="s">
        <v>1646</v>
      </c>
      <c r="B786" s="13" t="s">
        <v>1647</v>
      </c>
      <c r="C786" s="13"/>
      <c r="D786" s="13">
        <v>0</v>
      </c>
      <c r="E786" s="13">
        <v>1</v>
      </c>
      <c r="F786" s="13">
        <v>1</v>
      </c>
      <c r="G786" s="13">
        <v>0</v>
      </c>
      <c r="H786" s="13">
        <v>0</v>
      </c>
      <c r="I786" s="13">
        <v>-3</v>
      </c>
      <c r="J786" s="13">
        <v>1</v>
      </c>
      <c r="K786" s="13">
        <v>2</v>
      </c>
      <c r="L786" s="13">
        <v>0</v>
      </c>
      <c r="M786" s="13">
        <v>-1</v>
      </c>
      <c r="N786" s="13">
        <v>-3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-1</v>
      </c>
    </row>
    <row r="787" spans="1:45" ht="23" customHeight="1">
      <c r="A787" s="13" t="s">
        <v>1648</v>
      </c>
      <c r="B787" s="13" t="s">
        <v>1649</v>
      </c>
      <c r="C787" s="13"/>
      <c r="D787" s="13">
        <v>0</v>
      </c>
      <c r="E787" s="13">
        <v>2</v>
      </c>
      <c r="F787" s="13">
        <v>4</v>
      </c>
      <c r="G787" s="13">
        <v>0</v>
      </c>
      <c r="H787" s="13">
        <v>-2</v>
      </c>
      <c r="I787" s="13">
        <v>-2</v>
      </c>
      <c r="J787" s="13">
        <v>2</v>
      </c>
      <c r="K787" s="13">
        <v>3</v>
      </c>
      <c r="L787" s="13">
        <v>0</v>
      </c>
      <c r="M787" s="13">
        <v>-1</v>
      </c>
      <c r="N787" s="13">
        <v>-6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-3</v>
      </c>
    </row>
    <row r="788" spans="1:45" ht="20" customHeight="1">
      <c r="A788" s="13" t="s">
        <v>1650</v>
      </c>
      <c r="B788" s="13" t="s">
        <v>1651</v>
      </c>
      <c r="C788" s="13"/>
      <c r="D788" s="13">
        <v>0</v>
      </c>
      <c r="E788" s="13">
        <v>1</v>
      </c>
      <c r="F788" s="13">
        <v>2</v>
      </c>
      <c r="G788" s="13">
        <v>0</v>
      </c>
      <c r="H788" s="13">
        <v>-1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-1</v>
      </c>
    </row>
    <row r="789" spans="1:45" ht="23" customHeight="1">
      <c r="A789" s="13" t="s">
        <v>1653</v>
      </c>
      <c r="B789" s="13" t="s">
        <v>1654</v>
      </c>
      <c r="C789" s="13"/>
      <c r="D789" s="13">
        <v>0</v>
      </c>
      <c r="E789" s="13">
        <v>1</v>
      </c>
      <c r="F789" s="13">
        <v>1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</row>
    <row r="790" spans="1:45" ht="23" customHeight="1">
      <c r="A790" s="13" t="s">
        <v>1655</v>
      </c>
      <c r="B790" s="13" t="s">
        <v>1654</v>
      </c>
      <c r="C790" s="13"/>
      <c r="D790" s="13">
        <v>0</v>
      </c>
      <c r="E790" s="13">
        <v>1</v>
      </c>
      <c r="F790" s="13">
        <v>1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</row>
    <row r="791" spans="1:45" ht="23" customHeight="1">
      <c r="A791" s="13" t="s">
        <v>1656</v>
      </c>
      <c r="B791" s="13" t="s">
        <v>1657</v>
      </c>
      <c r="C791" s="13"/>
      <c r="D791" s="13">
        <v>0</v>
      </c>
      <c r="E791" s="13">
        <v>1</v>
      </c>
      <c r="F791" s="13">
        <v>1</v>
      </c>
      <c r="G791" s="13">
        <v>0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</row>
    <row r="792" spans="1:45" ht="23" customHeight="1">
      <c r="A792" s="13" t="s">
        <v>1658</v>
      </c>
      <c r="B792" s="13" t="s">
        <v>1659</v>
      </c>
      <c r="C792" s="13"/>
      <c r="D792" s="13">
        <v>0</v>
      </c>
      <c r="E792" s="13">
        <v>1</v>
      </c>
      <c r="F792" s="13">
        <v>1</v>
      </c>
      <c r="G792" s="13">
        <v>0</v>
      </c>
      <c r="H792" s="13">
        <v>0</v>
      </c>
      <c r="I792" s="13">
        <v>-1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</row>
    <row r="793" spans="1:45" ht="23" customHeight="1">
      <c r="A793" s="13" t="s">
        <v>1661</v>
      </c>
      <c r="B793" s="13" t="s">
        <v>1662</v>
      </c>
      <c r="C793" s="13"/>
      <c r="D793" s="13">
        <v>0</v>
      </c>
      <c r="E793" s="13">
        <v>1</v>
      </c>
      <c r="F793" s="13">
        <v>1</v>
      </c>
      <c r="G793" s="13">
        <v>0</v>
      </c>
      <c r="H793" s="13">
        <v>0</v>
      </c>
      <c r="I793" s="13">
        <v>0</v>
      </c>
      <c r="J793" s="13">
        <v>1</v>
      </c>
      <c r="K793" s="13">
        <v>1</v>
      </c>
      <c r="L793" s="13">
        <v>0</v>
      </c>
      <c r="M793" s="13">
        <v>0</v>
      </c>
      <c r="N793" s="13">
        <v>-1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</row>
    <row r="794" spans="1:45" ht="23" customHeight="1">
      <c r="A794" s="13" t="s">
        <v>1663</v>
      </c>
      <c r="B794" s="13" t="s">
        <v>1664</v>
      </c>
      <c r="C794" s="13"/>
      <c r="D794" s="13">
        <v>0</v>
      </c>
      <c r="E794" s="13">
        <v>1</v>
      </c>
      <c r="F794" s="13">
        <v>9</v>
      </c>
      <c r="G794" s="13">
        <v>0</v>
      </c>
      <c r="H794" s="13">
        <v>-8</v>
      </c>
      <c r="I794" s="13">
        <v>0</v>
      </c>
      <c r="J794" s="13">
        <v>0</v>
      </c>
      <c r="K794" s="13">
        <v>1</v>
      </c>
      <c r="L794" s="13">
        <v>0</v>
      </c>
      <c r="M794" s="13">
        <v>-1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-9</v>
      </c>
    </row>
    <row r="795" spans="1:45" ht="23" customHeight="1">
      <c r="A795" s="13" t="s">
        <v>1666</v>
      </c>
      <c r="B795" s="13" t="s">
        <v>1667</v>
      </c>
      <c r="C795" s="13"/>
      <c r="D795" s="13">
        <v>0</v>
      </c>
      <c r="E795" s="13">
        <v>1</v>
      </c>
      <c r="F795" s="13">
        <v>2</v>
      </c>
      <c r="G795" s="13">
        <v>0</v>
      </c>
      <c r="H795" s="13">
        <v>-1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0</v>
      </c>
      <c r="AP795" s="13">
        <v>0</v>
      </c>
      <c r="AQ795" s="13">
        <v>0</v>
      </c>
      <c r="AR795" s="13">
        <v>0</v>
      </c>
      <c r="AS795" s="13">
        <v>-1</v>
      </c>
    </row>
    <row r="796" spans="1:45" ht="23" customHeight="1">
      <c r="A796" s="13" t="s">
        <v>1669</v>
      </c>
      <c r="B796" s="13" t="s">
        <v>1670</v>
      </c>
      <c r="C796" s="13"/>
      <c r="D796" s="13">
        <v>0</v>
      </c>
      <c r="E796" s="13">
        <v>1</v>
      </c>
      <c r="F796" s="13">
        <v>2</v>
      </c>
      <c r="G796" s="13">
        <v>0</v>
      </c>
      <c r="H796" s="13">
        <v>-1</v>
      </c>
      <c r="I796" s="13">
        <v>-3</v>
      </c>
      <c r="J796" s="13">
        <v>1</v>
      </c>
      <c r="K796" s="13">
        <v>1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-1</v>
      </c>
    </row>
    <row r="797" spans="1:45" ht="23" customHeight="1">
      <c r="A797" s="13" t="s">
        <v>1671</v>
      </c>
      <c r="B797" s="13" t="s">
        <v>1672</v>
      </c>
      <c r="C797" s="13"/>
      <c r="D797" s="13">
        <v>0</v>
      </c>
      <c r="E797" s="13">
        <v>1</v>
      </c>
      <c r="F797" s="13">
        <v>1</v>
      </c>
      <c r="G797" s="13">
        <v>0</v>
      </c>
      <c r="H797" s="13">
        <v>0</v>
      </c>
      <c r="I797" s="13">
        <v>0</v>
      </c>
      <c r="J797" s="13">
        <v>0</v>
      </c>
      <c r="K797" s="13">
        <v>1</v>
      </c>
      <c r="L797" s="13">
        <v>0</v>
      </c>
      <c r="M797" s="13">
        <v>-1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-1</v>
      </c>
    </row>
    <row r="798" spans="1:45" ht="23" customHeight="1">
      <c r="A798" s="13" t="s">
        <v>1673</v>
      </c>
      <c r="B798" s="13" t="s">
        <v>1674</v>
      </c>
      <c r="C798" s="13"/>
      <c r="D798" s="13">
        <v>1</v>
      </c>
      <c r="E798" s="13">
        <v>1</v>
      </c>
      <c r="F798" s="13">
        <v>2</v>
      </c>
      <c r="G798" s="13">
        <v>0</v>
      </c>
      <c r="H798" s="13">
        <v>-1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-1</v>
      </c>
    </row>
    <row r="799" spans="1:45" ht="23" customHeight="1">
      <c r="A799" s="13" t="s">
        <v>1675</v>
      </c>
      <c r="B799" s="13" t="s">
        <v>1676</v>
      </c>
      <c r="C799" s="13" t="s">
        <v>2293</v>
      </c>
      <c r="D799" s="13">
        <v>0</v>
      </c>
      <c r="E799" s="13">
        <v>1</v>
      </c>
      <c r="F799" s="13">
        <v>1</v>
      </c>
      <c r="G799" s="13">
        <v>0</v>
      </c>
      <c r="H799" s="13">
        <v>0</v>
      </c>
      <c r="I799" s="13">
        <v>-1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</row>
    <row r="800" spans="1:45" ht="23" customHeight="1">
      <c r="A800" s="13" t="s">
        <v>1677</v>
      </c>
      <c r="B800" s="13" t="s">
        <v>1678</v>
      </c>
      <c r="C800" s="13"/>
      <c r="D800" s="13">
        <v>0</v>
      </c>
      <c r="E800" s="13">
        <v>1</v>
      </c>
      <c r="F800" s="13">
        <v>2</v>
      </c>
      <c r="G800" s="13">
        <v>0</v>
      </c>
      <c r="H800" s="13">
        <v>-1</v>
      </c>
      <c r="I800" s="13">
        <v>-1</v>
      </c>
      <c r="J800" s="13">
        <v>1</v>
      </c>
      <c r="K800" s="13">
        <v>1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-1</v>
      </c>
    </row>
    <row r="801" spans="1:45" ht="23" customHeight="1">
      <c r="A801" s="13" t="s">
        <v>1679</v>
      </c>
      <c r="B801" s="13" t="s">
        <v>1678</v>
      </c>
      <c r="C801" s="13"/>
      <c r="D801" s="13">
        <v>0</v>
      </c>
      <c r="E801" s="13">
        <v>2</v>
      </c>
      <c r="F801" s="13">
        <v>1</v>
      </c>
      <c r="G801" s="13">
        <v>0</v>
      </c>
      <c r="H801" s="14">
        <v>1</v>
      </c>
      <c r="I801" s="13">
        <v>-1</v>
      </c>
      <c r="J801" s="13">
        <v>2</v>
      </c>
      <c r="K801" s="13">
        <v>2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4">
        <v>2</v>
      </c>
    </row>
    <row r="802" spans="1:45" ht="23" customHeight="1">
      <c r="A802" s="13" t="s">
        <v>1680</v>
      </c>
      <c r="B802" s="13" t="s">
        <v>1681</v>
      </c>
      <c r="C802" s="13" t="s">
        <v>2294</v>
      </c>
      <c r="D802" s="13">
        <v>0</v>
      </c>
      <c r="E802" s="13">
        <v>1</v>
      </c>
      <c r="F802" s="13">
        <v>2</v>
      </c>
      <c r="G802" s="13">
        <v>0</v>
      </c>
      <c r="H802" s="13">
        <v>-1</v>
      </c>
      <c r="I802" s="13">
        <v>-1</v>
      </c>
      <c r="J802" s="13">
        <v>0</v>
      </c>
      <c r="K802" s="13">
        <v>1</v>
      </c>
      <c r="L802" s="13">
        <v>0</v>
      </c>
      <c r="M802" s="13">
        <v>-1</v>
      </c>
      <c r="N802" s="13">
        <v>-1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-2</v>
      </c>
    </row>
    <row r="803" spans="1:45" ht="23" customHeight="1">
      <c r="A803" s="13" t="s">
        <v>1682</v>
      </c>
      <c r="B803" s="13" t="s">
        <v>1683</v>
      </c>
      <c r="C803" s="13"/>
      <c r="D803" s="13">
        <v>0</v>
      </c>
      <c r="E803" s="13">
        <v>0</v>
      </c>
      <c r="F803" s="13">
        <v>1</v>
      </c>
      <c r="G803" s="13">
        <v>0</v>
      </c>
      <c r="H803" s="13">
        <v>-1</v>
      </c>
      <c r="I803" s="13">
        <v>-2</v>
      </c>
      <c r="J803" s="13">
        <v>1</v>
      </c>
      <c r="K803" s="13">
        <v>1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-1</v>
      </c>
    </row>
    <row r="804" spans="1:45" ht="23" customHeight="1">
      <c r="A804" s="13" t="s">
        <v>1684</v>
      </c>
      <c r="B804" s="13" t="s">
        <v>1681</v>
      </c>
      <c r="C804" s="13"/>
      <c r="D804" s="13">
        <v>0</v>
      </c>
      <c r="E804" s="13">
        <v>0</v>
      </c>
      <c r="F804" s="13">
        <v>2</v>
      </c>
      <c r="G804" s="13">
        <v>0</v>
      </c>
      <c r="H804" s="13">
        <v>-2</v>
      </c>
      <c r="I804" s="13">
        <v>-3</v>
      </c>
      <c r="J804" s="13">
        <v>1</v>
      </c>
      <c r="K804" s="13">
        <v>1</v>
      </c>
      <c r="L804" s="13">
        <v>0</v>
      </c>
      <c r="M804" s="13">
        <v>0</v>
      </c>
      <c r="N804" s="13">
        <v>-2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-2</v>
      </c>
    </row>
    <row r="805" spans="1:45" ht="20" customHeight="1">
      <c r="A805" s="13" t="s">
        <v>1685</v>
      </c>
      <c r="B805" s="13" t="s">
        <v>1686</v>
      </c>
      <c r="C805" s="13"/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1</v>
      </c>
      <c r="K805" s="13">
        <v>1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</row>
    <row r="806" spans="1:45" ht="23" customHeight="1">
      <c r="A806" s="13" t="s">
        <v>1687</v>
      </c>
      <c r="B806" s="13" t="s">
        <v>1196</v>
      </c>
      <c r="C806" s="13" t="s">
        <v>2295</v>
      </c>
      <c r="D806" s="13">
        <v>0</v>
      </c>
      <c r="E806" s="13">
        <v>1</v>
      </c>
      <c r="F806" s="13">
        <v>10</v>
      </c>
      <c r="G806" s="13">
        <v>0</v>
      </c>
      <c r="H806" s="13">
        <v>-9</v>
      </c>
      <c r="I806" s="13">
        <v>-11</v>
      </c>
      <c r="J806" s="13">
        <v>2</v>
      </c>
      <c r="K806" s="13">
        <v>2</v>
      </c>
      <c r="L806" s="13">
        <v>0</v>
      </c>
      <c r="M806" s="13">
        <v>0</v>
      </c>
      <c r="N806" s="13">
        <v>-3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-9</v>
      </c>
    </row>
    <row r="807" spans="1:45" ht="20" customHeight="1">
      <c r="A807" s="13" t="s">
        <v>1689</v>
      </c>
      <c r="B807" s="13" t="s">
        <v>1690</v>
      </c>
      <c r="C807" s="13"/>
      <c r="D807" s="13">
        <v>0</v>
      </c>
      <c r="E807" s="13">
        <v>2</v>
      </c>
      <c r="F807" s="13">
        <v>12</v>
      </c>
      <c r="G807" s="13">
        <v>0</v>
      </c>
      <c r="H807" s="13">
        <v>-10</v>
      </c>
      <c r="I807" s="13">
        <v>-35</v>
      </c>
      <c r="J807" s="13">
        <v>2</v>
      </c>
      <c r="K807" s="13">
        <v>14</v>
      </c>
      <c r="L807" s="13">
        <v>0</v>
      </c>
      <c r="M807" s="13">
        <v>-12</v>
      </c>
      <c r="N807" s="13">
        <v>-77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1</v>
      </c>
      <c r="U807" s="13">
        <v>2</v>
      </c>
      <c r="V807" s="13">
        <v>0</v>
      </c>
      <c r="W807" s="13">
        <v>-1</v>
      </c>
      <c r="X807" s="13">
        <v>-1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2</v>
      </c>
      <c r="AO807" s="13">
        <v>2</v>
      </c>
      <c r="AP807" s="13">
        <v>0</v>
      </c>
      <c r="AQ807" s="13">
        <v>0</v>
      </c>
      <c r="AR807" s="13">
        <v>-5</v>
      </c>
      <c r="AS807" s="13">
        <v>-23</v>
      </c>
    </row>
    <row r="808" spans="1:45" ht="20" customHeight="1">
      <c r="A808" s="13" t="s">
        <v>1691</v>
      </c>
      <c r="B808" s="13" t="s">
        <v>1692</v>
      </c>
      <c r="C808" s="13"/>
      <c r="D808" s="13">
        <v>0</v>
      </c>
      <c r="E808" s="13">
        <v>4</v>
      </c>
      <c r="F808" s="13">
        <v>29</v>
      </c>
      <c r="G808" s="13">
        <v>0</v>
      </c>
      <c r="H808" s="13">
        <v>-25</v>
      </c>
      <c r="I808" s="13">
        <v>-4</v>
      </c>
      <c r="J808" s="13">
        <v>4</v>
      </c>
      <c r="K808" s="13">
        <v>15</v>
      </c>
      <c r="L808" s="13">
        <v>0</v>
      </c>
      <c r="M808" s="13">
        <v>-11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1</v>
      </c>
      <c r="U808" s="13">
        <v>1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2</v>
      </c>
      <c r="AO808" s="13">
        <v>2</v>
      </c>
      <c r="AP808" s="13">
        <v>0</v>
      </c>
      <c r="AQ808" s="13">
        <v>0</v>
      </c>
      <c r="AR808" s="13">
        <v>0</v>
      </c>
      <c r="AS808" s="13">
        <v>-36</v>
      </c>
    </row>
    <row r="809" spans="1:45" ht="23" customHeight="1">
      <c r="A809" s="13" t="s">
        <v>1694</v>
      </c>
      <c r="B809" s="13" t="s">
        <v>1695</v>
      </c>
      <c r="C809" s="13"/>
      <c r="D809" s="13">
        <v>0</v>
      </c>
      <c r="E809" s="13">
        <v>1</v>
      </c>
      <c r="F809" s="13">
        <v>2</v>
      </c>
      <c r="G809" s="13">
        <v>0</v>
      </c>
      <c r="H809" s="13">
        <v>-1</v>
      </c>
      <c r="I809" s="13">
        <v>-3</v>
      </c>
      <c r="J809" s="13">
        <v>1</v>
      </c>
      <c r="K809" s="13">
        <v>2</v>
      </c>
      <c r="L809" s="13">
        <v>0</v>
      </c>
      <c r="M809" s="13">
        <v>-1</v>
      </c>
      <c r="N809" s="13">
        <v>-7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-2</v>
      </c>
    </row>
    <row r="810" spans="1:45" ht="23" customHeight="1">
      <c r="A810" s="13" t="s">
        <v>1696</v>
      </c>
      <c r="B810" s="13" t="s">
        <v>1697</v>
      </c>
      <c r="C810" s="13"/>
      <c r="D810" s="13">
        <v>0</v>
      </c>
      <c r="E810" s="13">
        <v>1</v>
      </c>
      <c r="F810" s="13">
        <v>7</v>
      </c>
      <c r="G810" s="13">
        <v>0</v>
      </c>
      <c r="H810" s="13">
        <v>-6</v>
      </c>
      <c r="I810" s="13">
        <v>-28</v>
      </c>
      <c r="J810" s="13">
        <v>1</v>
      </c>
      <c r="K810" s="13">
        <v>10</v>
      </c>
      <c r="L810" s="13">
        <v>1</v>
      </c>
      <c r="M810" s="13">
        <v>-10</v>
      </c>
      <c r="N810" s="13">
        <v>-10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-16</v>
      </c>
    </row>
    <row r="811" spans="1:45" ht="23" customHeight="1">
      <c r="A811" s="13" t="s">
        <v>1699</v>
      </c>
      <c r="B811" s="13" t="s">
        <v>1700</v>
      </c>
      <c r="C811" s="13"/>
      <c r="D811" s="13">
        <v>0</v>
      </c>
      <c r="E811" s="13">
        <v>4</v>
      </c>
      <c r="F811" s="13">
        <v>95</v>
      </c>
      <c r="G811" s="13">
        <v>0</v>
      </c>
      <c r="H811" s="13">
        <v>-91</v>
      </c>
      <c r="I811" s="13">
        <v>-19</v>
      </c>
      <c r="J811" s="13">
        <v>4</v>
      </c>
      <c r="K811" s="13">
        <v>21</v>
      </c>
      <c r="L811" s="13">
        <v>0</v>
      </c>
      <c r="M811" s="13">
        <v>-17</v>
      </c>
      <c r="N811" s="13">
        <v>-10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1</v>
      </c>
      <c r="U811" s="13">
        <v>1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2</v>
      </c>
      <c r="AO811" s="13">
        <v>2</v>
      </c>
      <c r="AP811" s="13">
        <v>0</v>
      </c>
      <c r="AQ811" s="13">
        <v>0</v>
      </c>
      <c r="AR811" s="13">
        <v>-2</v>
      </c>
      <c r="AS811" s="13">
        <v>-108</v>
      </c>
    </row>
    <row r="812" spans="1:45" ht="20" customHeight="1">
      <c r="A812" s="13" t="s">
        <v>1701</v>
      </c>
      <c r="B812" s="13" t="s">
        <v>1702</v>
      </c>
      <c r="C812" s="13"/>
      <c r="D812" s="13">
        <v>0</v>
      </c>
      <c r="E812" s="13">
        <v>4</v>
      </c>
      <c r="F812" s="13">
        <v>84</v>
      </c>
      <c r="G812" s="13">
        <v>0</v>
      </c>
      <c r="H812" s="13">
        <v>-80</v>
      </c>
      <c r="I812" s="13">
        <v>-41</v>
      </c>
      <c r="J812" s="13">
        <v>4</v>
      </c>
      <c r="K812" s="13">
        <v>21</v>
      </c>
      <c r="L812" s="13">
        <v>0</v>
      </c>
      <c r="M812" s="13">
        <v>-17</v>
      </c>
      <c r="N812" s="13">
        <v>-10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1</v>
      </c>
      <c r="U812" s="13">
        <v>1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2</v>
      </c>
      <c r="AO812" s="13">
        <v>2</v>
      </c>
      <c r="AP812" s="13">
        <v>0</v>
      </c>
      <c r="AQ812" s="13">
        <v>0</v>
      </c>
      <c r="AR812" s="13">
        <v>-2</v>
      </c>
      <c r="AS812" s="13">
        <v>-97</v>
      </c>
    </row>
    <row r="813" spans="1:45" ht="34" customHeight="1">
      <c r="A813" s="13" t="s">
        <v>1703</v>
      </c>
      <c r="B813" s="13" t="s">
        <v>1704</v>
      </c>
      <c r="C813" s="13" t="s">
        <v>2296</v>
      </c>
      <c r="D813" s="13">
        <v>0</v>
      </c>
      <c r="E813" s="13">
        <v>10</v>
      </c>
      <c r="F813" s="13">
        <v>0</v>
      </c>
      <c r="G813" s="13">
        <v>1</v>
      </c>
      <c r="H813" s="14">
        <v>9</v>
      </c>
      <c r="I813" s="13">
        <v>-110</v>
      </c>
      <c r="J813" s="13">
        <v>4</v>
      </c>
      <c r="K813" s="13">
        <v>1</v>
      </c>
      <c r="L813" s="13">
        <v>0</v>
      </c>
      <c r="M813" s="14">
        <v>3</v>
      </c>
      <c r="N813" s="13">
        <v>-83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2</v>
      </c>
      <c r="U813" s="13">
        <v>2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4</v>
      </c>
      <c r="AO813" s="13">
        <v>1</v>
      </c>
      <c r="AP813" s="13">
        <v>0</v>
      </c>
      <c r="AQ813" s="14">
        <v>3</v>
      </c>
      <c r="AR813" s="13">
        <v>0</v>
      </c>
      <c r="AS813" s="14">
        <v>15</v>
      </c>
    </row>
    <row r="814" spans="1:45" ht="23" customHeight="1">
      <c r="A814" s="13" t="s">
        <v>1705</v>
      </c>
      <c r="B814" s="13" t="s">
        <v>1706</v>
      </c>
      <c r="C814" s="13"/>
      <c r="D814" s="13">
        <v>0</v>
      </c>
      <c r="E814" s="13">
        <v>6</v>
      </c>
      <c r="F814" s="13">
        <v>6</v>
      </c>
      <c r="G814" s="13">
        <v>0</v>
      </c>
      <c r="H814" s="13">
        <v>0</v>
      </c>
      <c r="I814" s="13">
        <v>-408</v>
      </c>
      <c r="J814" s="13">
        <v>4</v>
      </c>
      <c r="K814" s="13">
        <v>9</v>
      </c>
      <c r="L814" s="13">
        <v>0</v>
      </c>
      <c r="M814" s="13">
        <v>-5</v>
      </c>
      <c r="N814" s="13">
        <v>-173</v>
      </c>
      <c r="O814" s="13">
        <v>0</v>
      </c>
      <c r="P814" s="13">
        <v>0</v>
      </c>
      <c r="Q814" s="13">
        <v>0</v>
      </c>
      <c r="R814" s="13">
        <v>0</v>
      </c>
      <c r="S814" s="13">
        <v>-2</v>
      </c>
      <c r="T814" s="13">
        <v>2</v>
      </c>
      <c r="U814" s="13">
        <v>2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2</v>
      </c>
      <c r="AO814" s="13">
        <v>4</v>
      </c>
      <c r="AP814" s="13">
        <v>0</v>
      </c>
      <c r="AQ814" s="13">
        <v>-2</v>
      </c>
      <c r="AR814" s="13">
        <v>-8</v>
      </c>
      <c r="AS814" s="13">
        <v>-7</v>
      </c>
    </row>
    <row r="815" spans="1:45" ht="34" customHeight="1">
      <c r="A815" s="13" t="s">
        <v>1707</v>
      </c>
      <c r="B815" s="13" t="s">
        <v>193</v>
      </c>
      <c r="C815" s="13" t="s">
        <v>2297</v>
      </c>
      <c r="D815" s="13">
        <v>0</v>
      </c>
      <c r="E815" s="13">
        <v>2</v>
      </c>
      <c r="F815" s="13">
        <v>3</v>
      </c>
      <c r="G815" s="13">
        <v>0</v>
      </c>
      <c r="H815" s="13">
        <v>-1</v>
      </c>
      <c r="I815" s="13">
        <v>-7</v>
      </c>
      <c r="J815" s="13">
        <v>0</v>
      </c>
      <c r="K815" s="13">
        <v>0</v>
      </c>
      <c r="L815" s="13">
        <v>0</v>
      </c>
      <c r="M815" s="13">
        <v>0</v>
      </c>
      <c r="N815" s="13">
        <v>-1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-1</v>
      </c>
    </row>
    <row r="816" spans="1:45" ht="20" customHeight="1">
      <c r="A816" s="13" t="s">
        <v>1708</v>
      </c>
      <c r="B816" s="13" t="s">
        <v>1131</v>
      </c>
      <c r="C816" s="13"/>
      <c r="D816" s="13">
        <v>2</v>
      </c>
      <c r="E816" s="13">
        <v>1</v>
      </c>
      <c r="F816" s="13">
        <v>3</v>
      </c>
      <c r="G816" s="13">
        <v>0</v>
      </c>
      <c r="H816" s="13">
        <v>-2</v>
      </c>
      <c r="I816" s="13">
        <v>-1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</row>
    <row r="817" spans="1:45" ht="23" customHeight="1">
      <c r="A817" s="13" t="s">
        <v>1709</v>
      </c>
      <c r="B817" s="13" t="s">
        <v>1710</v>
      </c>
      <c r="C817" s="13"/>
      <c r="D817" s="13">
        <v>0</v>
      </c>
      <c r="E817" s="13">
        <v>1</v>
      </c>
      <c r="F817" s="13">
        <v>7</v>
      </c>
      <c r="G817" s="13">
        <v>0</v>
      </c>
      <c r="H817" s="13">
        <v>-6</v>
      </c>
      <c r="I817" s="13">
        <v>-4</v>
      </c>
      <c r="J817" s="13">
        <v>1</v>
      </c>
      <c r="K817" s="13">
        <v>2</v>
      </c>
      <c r="L817" s="13">
        <v>0</v>
      </c>
      <c r="M817" s="13">
        <v>-1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-2</v>
      </c>
    </row>
    <row r="818" spans="1:45" ht="23" customHeight="1">
      <c r="A818" s="13" t="s">
        <v>1711</v>
      </c>
      <c r="B818" s="13" t="s">
        <v>1712</v>
      </c>
      <c r="C818" s="13" t="s">
        <v>2298</v>
      </c>
      <c r="D818" s="13">
        <v>0</v>
      </c>
      <c r="E818" s="13">
        <v>1</v>
      </c>
      <c r="F818" s="13">
        <v>5</v>
      </c>
      <c r="G818" s="13">
        <v>0</v>
      </c>
      <c r="H818" s="13">
        <v>-4</v>
      </c>
      <c r="I818" s="13">
        <v>-4</v>
      </c>
      <c r="J818" s="13">
        <v>1</v>
      </c>
      <c r="K818" s="13">
        <v>1</v>
      </c>
      <c r="L818" s="13">
        <v>0</v>
      </c>
      <c r="M818" s="13">
        <v>0</v>
      </c>
      <c r="N818" s="13">
        <v>-1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-4</v>
      </c>
    </row>
    <row r="819" spans="1:45" ht="23" customHeight="1">
      <c r="A819" s="13" t="s">
        <v>1713</v>
      </c>
      <c r="B819" s="13" t="s">
        <v>1714</v>
      </c>
      <c r="C819" s="13" t="s">
        <v>2299</v>
      </c>
      <c r="D819" s="13">
        <v>0</v>
      </c>
      <c r="E819" s="13">
        <v>1</v>
      </c>
      <c r="F819" s="13">
        <v>4</v>
      </c>
      <c r="G819" s="13">
        <v>0</v>
      </c>
      <c r="H819" s="13">
        <v>-3</v>
      </c>
      <c r="I819" s="13">
        <v>-8</v>
      </c>
      <c r="J819" s="13">
        <v>1</v>
      </c>
      <c r="K819" s="13">
        <v>1</v>
      </c>
      <c r="L819" s="13">
        <v>0</v>
      </c>
      <c r="M819" s="13">
        <v>0</v>
      </c>
      <c r="N819" s="13">
        <v>-1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-3</v>
      </c>
    </row>
    <row r="820" spans="1:45" ht="23" customHeight="1">
      <c r="A820" s="13" t="s">
        <v>1715</v>
      </c>
      <c r="B820" s="13" t="s">
        <v>1716</v>
      </c>
      <c r="C820" s="13" t="s">
        <v>2300</v>
      </c>
      <c r="D820" s="13">
        <v>0</v>
      </c>
      <c r="E820" s="13">
        <v>0</v>
      </c>
      <c r="F820" s="13">
        <v>2</v>
      </c>
      <c r="G820" s="13">
        <v>0</v>
      </c>
      <c r="H820" s="13">
        <v>-2</v>
      </c>
      <c r="I820" s="13">
        <v>-1</v>
      </c>
      <c r="J820" s="13">
        <v>1</v>
      </c>
      <c r="K820" s="13">
        <v>1</v>
      </c>
      <c r="L820" s="13">
        <v>0</v>
      </c>
      <c r="M820" s="13">
        <v>0</v>
      </c>
      <c r="N820" s="13">
        <v>-1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-2</v>
      </c>
    </row>
    <row r="821" spans="1:45" ht="23" customHeight="1">
      <c r="A821" s="13" t="s">
        <v>1718</v>
      </c>
      <c r="B821" s="13" t="s">
        <v>1719</v>
      </c>
      <c r="C821" s="13" t="s">
        <v>2301</v>
      </c>
      <c r="D821" s="13">
        <v>0</v>
      </c>
      <c r="E821" s="13">
        <v>1</v>
      </c>
      <c r="F821" s="13">
        <v>2</v>
      </c>
      <c r="G821" s="13">
        <v>0</v>
      </c>
      <c r="H821" s="13">
        <v>-1</v>
      </c>
      <c r="I821" s="13">
        <v>0</v>
      </c>
      <c r="J821" s="13">
        <v>1</v>
      </c>
      <c r="K821" s="13">
        <v>1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</row>
    <row r="822" spans="1:45" ht="23" customHeight="1">
      <c r="A822" s="13" t="s">
        <v>1720</v>
      </c>
      <c r="B822" s="13" t="s">
        <v>1721</v>
      </c>
      <c r="C822" s="13" t="s">
        <v>2302</v>
      </c>
      <c r="D822" s="13">
        <v>1</v>
      </c>
      <c r="E822" s="13">
        <v>1</v>
      </c>
      <c r="F822" s="13">
        <v>2</v>
      </c>
      <c r="G822" s="13">
        <v>0</v>
      </c>
      <c r="H822" s="13">
        <v>-1</v>
      </c>
      <c r="I822" s="13">
        <v>-1</v>
      </c>
      <c r="J822" s="13">
        <v>1</v>
      </c>
      <c r="K822" s="13">
        <v>1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</row>
    <row r="823" spans="1:45" ht="23" customHeight="1">
      <c r="A823" s="13" t="s">
        <v>1723</v>
      </c>
      <c r="B823" s="13" t="s">
        <v>1724</v>
      </c>
      <c r="C823" s="13" t="s">
        <v>2303</v>
      </c>
      <c r="D823" s="13">
        <v>2</v>
      </c>
      <c r="E823" s="13">
        <v>1</v>
      </c>
      <c r="F823" s="13">
        <v>1</v>
      </c>
      <c r="G823" s="13">
        <v>0</v>
      </c>
      <c r="H823" s="13">
        <v>0</v>
      </c>
      <c r="I823" s="13">
        <v>-2</v>
      </c>
      <c r="J823" s="13">
        <v>1</v>
      </c>
      <c r="K823" s="13">
        <v>1</v>
      </c>
      <c r="L823" s="13">
        <v>0</v>
      </c>
      <c r="M823" s="13">
        <v>0</v>
      </c>
      <c r="N823" s="13">
        <v>-1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</row>
    <row r="824" spans="1:45" ht="23" customHeight="1">
      <c r="A824" s="13" t="s">
        <v>1725</v>
      </c>
      <c r="B824" s="13" t="s">
        <v>1726</v>
      </c>
      <c r="C824" s="13"/>
      <c r="D824" s="13">
        <v>2</v>
      </c>
      <c r="E824" s="13">
        <v>1</v>
      </c>
      <c r="F824" s="13">
        <v>3</v>
      </c>
      <c r="G824" s="13">
        <v>0</v>
      </c>
      <c r="H824" s="13">
        <v>-2</v>
      </c>
      <c r="I824" s="13">
        <v>-2</v>
      </c>
      <c r="J824" s="13">
        <v>1</v>
      </c>
      <c r="K824" s="13">
        <v>1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</row>
    <row r="825" spans="1:45" ht="46" customHeight="1">
      <c r="A825" s="13" t="s">
        <v>1727</v>
      </c>
      <c r="B825" s="13" t="s">
        <v>1728</v>
      </c>
      <c r="C825" s="13" t="s">
        <v>2304</v>
      </c>
      <c r="D825" s="13">
        <v>0</v>
      </c>
      <c r="E825" s="13">
        <v>1</v>
      </c>
      <c r="F825" s="13">
        <v>2</v>
      </c>
      <c r="G825" s="13">
        <v>0</v>
      </c>
      <c r="H825" s="13">
        <v>-1</v>
      </c>
      <c r="I825" s="13">
        <v>0</v>
      </c>
      <c r="J825" s="13">
        <v>1</v>
      </c>
      <c r="K825" s="13">
        <v>0</v>
      </c>
      <c r="L825" s="13">
        <v>0</v>
      </c>
      <c r="M825" s="14">
        <v>1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</row>
    <row r="826" spans="1:45" ht="23" customHeight="1">
      <c r="A826" s="13" t="s">
        <v>1729</v>
      </c>
      <c r="B826" s="13" t="s">
        <v>1730</v>
      </c>
      <c r="C826" s="13" t="s">
        <v>2305</v>
      </c>
      <c r="D826" s="13">
        <v>0</v>
      </c>
      <c r="E826" s="13">
        <v>1</v>
      </c>
      <c r="F826" s="13">
        <v>2</v>
      </c>
      <c r="G826" s="13">
        <v>0</v>
      </c>
      <c r="H826" s="13">
        <v>-1</v>
      </c>
      <c r="I826" s="13">
        <v>0</v>
      </c>
      <c r="J826" s="13">
        <v>1</v>
      </c>
      <c r="K826" s="13">
        <v>1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</row>
    <row r="827" spans="1:45" ht="23" customHeight="1">
      <c r="A827" s="13" t="s">
        <v>1731</v>
      </c>
      <c r="B827" s="13" t="s">
        <v>1732</v>
      </c>
      <c r="C827" s="13" t="s">
        <v>2306</v>
      </c>
      <c r="D827" s="13">
        <v>0</v>
      </c>
      <c r="E827" s="13">
        <v>1</v>
      </c>
      <c r="F827" s="13">
        <v>1</v>
      </c>
      <c r="G827" s="13">
        <v>0</v>
      </c>
      <c r="H827" s="13">
        <v>0</v>
      </c>
      <c r="I827" s="13">
        <v>-1</v>
      </c>
      <c r="J827" s="13">
        <v>1</v>
      </c>
      <c r="K827" s="13">
        <v>1</v>
      </c>
      <c r="L827" s="13">
        <v>0</v>
      </c>
      <c r="M827" s="13">
        <v>0</v>
      </c>
      <c r="N827" s="13">
        <v>-1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</row>
    <row r="828" spans="1:45" ht="23" customHeight="1">
      <c r="A828" s="13" t="s">
        <v>1733</v>
      </c>
      <c r="B828" s="13" t="s">
        <v>1732</v>
      </c>
      <c r="C828" s="13"/>
      <c r="D828" s="13">
        <v>0</v>
      </c>
      <c r="E828" s="13">
        <v>1</v>
      </c>
      <c r="F828" s="13">
        <v>1</v>
      </c>
      <c r="G828" s="13">
        <v>0</v>
      </c>
      <c r="H828" s="13">
        <v>0</v>
      </c>
      <c r="I828" s="13">
        <v>-1</v>
      </c>
      <c r="J828" s="13">
        <v>1</v>
      </c>
      <c r="K828" s="13">
        <v>2</v>
      </c>
      <c r="L828" s="13">
        <v>0</v>
      </c>
      <c r="M828" s="13">
        <v>-1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0</v>
      </c>
      <c r="AP828" s="13">
        <v>0</v>
      </c>
      <c r="AQ828" s="13">
        <v>0</v>
      </c>
      <c r="AR828" s="13">
        <v>0</v>
      </c>
      <c r="AS828" s="13">
        <v>-1</v>
      </c>
    </row>
    <row r="829" spans="1:45" ht="23" customHeight="1">
      <c r="A829" s="13" t="s">
        <v>1734</v>
      </c>
      <c r="B829" s="13" t="s">
        <v>1735</v>
      </c>
      <c r="C829" s="13"/>
      <c r="D829" s="13">
        <v>0</v>
      </c>
      <c r="E829" s="13">
        <v>1</v>
      </c>
      <c r="F829" s="13">
        <v>5</v>
      </c>
      <c r="G829" s="13">
        <v>0</v>
      </c>
      <c r="H829" s="13">
        <v>-4</v>
      </c>
      <c r="I829" s="13">
        <v>0</v>
      </c>
      <c r="J829" s="13">
        <v>1</v>
      </c>
      <c r="K829" s="13">
        <v>2</v>
      </c>
      <c r="L829" s="13">
        <v>0</v>
      </c>
      <c r="M829" s="13">
        <v>-1</v>
      </c>
      <c r="N829" s="13">
        <v>-1</v>
      </c>
      <c r="O829" s="13">
        <v>0</v>
      </c>
      <c r="P829" s="13">
        <v>0</v>
      </c>
      <c r="Q829" s="13">
        <v>0</v>
      </c>
      <c r="R829" s="13">
        <v>0</v>
      </c>
      <c r="S829" s="13">
        <v>-3</v>
      </c>
      <c r="T829" s="13">
        <v>1</v>
      </c>
      <c r="U829" s="13">
        <v>1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-5</v>
      </c>
    </row>
    <row r="830" spans="1:45" ht="23" customHeight="1">
      <c r="A830" s="13" t="s">
        <v>1736</v>
      </c>
      <c r="B830" s="13" t="s">
        <v>1737</v>
      </c>
      <c r="C830" s="13" t="s">
        <v>2307</v>
      </c>
      <c r="D830" s="13">
        <v>0</v>
      </c>
      <c r="E830" s="13">
        <v>2</v>
      </c>
      <c r="F830" s="13">
        <v>5</v>
      </c>
      <c r="G830" s="13">
        <v>0</v>
      </c>
      <c r="H830" s="13">
        <v>-3</v>
      </c>
      <c r="I830" s="13">
        <v>0</v>
      </c>
      <c r="J830" s="13">
        <v>2</v>
      </c>
      <c r="K830" s="13">
        <v>14</v>
      </c>
      <c r="L830" s="13">
        <v>0</v>
      </c>
      <c r="M830" s="13">
        <v>-12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-11</v>
      </c>
    </row>
    <row r="831" spans="1:45" ht="34" customHeight="1">
      <c r="A831" s="13" t="s">
        <v>1738</v>
      </c>
      <c r="B831" s="13" t="s">
        <v>1739</v>
      </c>
      <c r="C831" s="13"/>
      <c r="D831" s="13">
        <v>0</v>
      </c>
      <c r="E831" s="13">
        <v>1</v>
      </c>
      <c r="F831" s="13">
        <v>1</v>
      </c>
      <c r="G831" s="13">
        <v>0</v>
      </c>
      <c r="H831" s="13">
        <v>0</v>
      </c>
      <c r="I831" s="13">
        <v>0</v>
      </c>
      <c r="J831" s="13">
        <v>1</v>
      </c>
      <c r="K831" s="13">
        <v>1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</row>
    <row r="832" spans="1:45" ht="23" customHeight="1">
      <c r="A832" s="13" t="s">
        <v>1740</v>
      </c>
      <c r="B832" s="13" t="s">
        <v>1741</v>
      </c>
      <c r="C832" s="13" t="s">
        <v>2308</v>
      </c>
      <c r="D832" s="13">
        <v>0</v>
      </c>
      <c r="E832" s="13">
        <v>1</v>
      </c>
      <c r="F832" s="13">
        <v>4</v>
      </c>
      <c r="G832" s="13">
        <v>0</v>
      </c>
      <c r="H832" s="13">
        <v>-3</v>
      </c>
      <c r="I832" s="13">
        <v>0</v>
      </c>
      <c r="J832" s="13">
        <v>1</v>
      </c>
      <c r="K832" s="13">
        <v>1</v>
      </c>
      <c r="L832" s="13">
        <v>0</v>
      </c>
      <c r="M832" s="13">
        <v>0</v>
      </c>
      <c r="N832" s="13">
        <v>-1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-3</v>
      </c>
    </row>
    <row r="833" spans="1:45" ht="23" customHeight="1">
      <c r="A833" s="13" t="s">
        <v>1742</v>
      </c>
      <c r="B833" s="13" t="s">
        <v>1743</v>
      </c>
      <c r="C833" s="13"/>
      <c r="D833" s="13">
        <v>0</v>
      </c>
      <c r="E833" s="13">
        <v>1</v>
      </c>
      <c r="F833" s="13">
        <v>1</v>
      </c>
      <c r="G833" s="13">
        <v>0</v>
      </c>
      <c r="H833" s="13">
        <v>0</v>
      </c>
      <c r="I833" s="13">
        <v>-1</v>
      </c>
      <c r="J833" s="13">
        <v>1</v>
      </c>
      <c r="K833" s="13">
        <v>1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</row>
    <row r="834" spans="1:45" ht="23" customHeight="1">
      <c r="A834" s="13" t="s">
        <v>1744</v>
      </c>
      <c r="B834" s="13" t="s">
        <v>1745</v>
      </c>
      <c r="C834" s="13" t="s">
        <v>2309</v>
      </c>
      <c r="D834" s="13">
        <v>100</v>
      </c>
      <c r="E834" s="13">
        <v>1</v>
      </c>
      <c r="F834" s="13">
        <v>9</v>
      </c>
      <c r="G834" s="13">
        <v>0</v>
      </c>
      <c r="H834" s="13">
        <v>-8</v>
      </c>
      <c r="I834" s="13">
        <v>-214</v>
      </c>
      <c r="J834" s="13">
        <v>1</v>
      </c>
      <c r="K834" s="13">
        <v>2</v>
      </c>
      <c r="L834" s="13">
        <v>0</v>
      </c>
      <c r="M834" s="13">
        <v>-1</v>
      </c>
      <c r="N834" s="13">
        <v>-6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-9</v>
      </c>
    </row>
    <row r="835" spans="1:45" ht="23" customHeight="1">
      <c r="A835" s="13" t="s">
        <v>1747</v>
      </c>
      <c r="B835" s="13" t="s">
        <v>1748</v>
      </c>
      <c r="C835" s="13" t="s">
        <v>2310</v>
      </c>
      <c r="D835" s="13">
        <v>4</v>
      </c>
      <c r="E835" s="13">
        <v>1</v>
      </c>
      <c r="F835" s="13">
        <v>0</v>
      </c>
      <c r="G835" s="13">
        <v>0</v>
      </c>
      <c r="H835" s="14">
        <v>1</v>
      </c>
      <c r="I835" s="13">
        <v>-1</v>
      </c>
      <c r="J835" s="13">
        <v>1</v>
      </c>
      <c r="K835" s="13">
        <v>0</v>
      </c>
      <c r="L835" s="13">
        <v>0</v>
      </c>
      <c r="M835" s="14">
        <v>1</v>
      </c>
      <c r="N835" s="13">
        <v>-3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4">
        <v>2</v>
      </c>
    </row>
    <row r="836" spans="1:45" ht="23" customHeight="1">
      <c r="A836" s="13" t="s">
        <v>1750</v>
      </c>
      <c r="B836" s="13" t="s">
        <v>1751</v>
      </c>
      <c r="C836" s="13" t="s">
        <v>2311</v>
      </c>
      <c r="D836" s="13">
        <v>0</v>
      </c>
      <c r="E836" s="13">
        <v>1</v>
      </c>
      <c r="F836" s="13">
        <v>23</v>
      </c>
      <c r="G836" s="13">
        <v>0</v>
      </c>
      <c r="H836" s="13">
        <v>-22</v>
      </c>
      <c r="I836" s="13">
        <v>-1</v>
      </c>
      <c r="J836" s="13">
        <v>1</v>
      </c>
      <c r="K836" s="13">
        <v>2</v>
      </c>
      <c r="L836" s="13">
        <v>0</v>
      </c>
      <c r="M836" s="13">
        <v>-1</v>
      </c>
      <c r="N836" s="13">
        <v>-7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-23</v>
      </c>
    </row>
    <row r="837" spans="1:45" ht="23" customHeight="1">
      <c r="A837" s="13" t="s">
        <v>1752</v>
      </c>
      <c r="B837" s="13" t="s">
        <v>1748</v>
      </c>
      <c r="C837" s="13"/>
      <c r="D837" s="13">
        <v>0</v>
      </c>
      <c r="E837" s="13">
        <v>1</v>
      </c>
      <c r="F837" s="13">
        <v>15</v>
      </c>
      <c r="G837" s="13">
        <v>0</v>
      </c>
      <c r="H837" s="13">
        <v>-14</v>
      </c>
      <c r="I837" s="13">
        <v>-50</v>
      </c>
      <c r="J837" s="13">
        <v>1</v>
      </c>
      <c r="K837" s="13">
        <v>3</v>
      </c>
      <c r="L837" s="13">
        <v>0</v>
      </c>
      <c r="M837" s="13">
        <v>-2</v>
      </c>
      <c r="N837" s="13">
        <v>-16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-16</v>
      </c>
    </row>
    <row r="838" spans="1:45" ht="23" customHeight="1">
      <c r="A838" s="13" t="s">
        <v>1753</v>
      </c>
      <c r="B838" s="13" t="s">
        <v>1751</v>
      </c>
      <c r="C838" s="13"/>
      <c r="D838" s="13">
        <v>0</v>
      </c>
      <c r="E838" s="13">
        <v>2</v>
      </c>
      <c r="F838" s="13">
        <v>6</v>
      </c>
      <c r="G838" s="13">
        <v>0</v>
      </c>
      <c r="H838" s="13">
        <v>-4</v>
      </c>
      <c r="I838" s="13">
        <v>-16</v>
      </c>
      <c r="J838" s="13">
        <v>2</v>
      </c>
      <c r="K838" s="13">
        <v>4</v>
      </c>
      <c r="L838" s="13">
        <v>0</v>
      </c>
      <c r="M838" s="13">
        <v>-2</v>
      </c>
      <c r="N838" s="13">
        <v>-14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  <c r="AR838" s="13">
        <v>-1</v>
      </c>
      <c r="AS838" s="13">
        <v>-6</v>
      </c>
    </row>
    <row r="839" spans="1:45" ht="23" customHeight="1">
      <c r="A839" s="13" t="s">
        <v>1754</v>
      </c>
      <c r="B839" s="13" t="s">
        <v>1755</v>
      </c>
      <c r="C839" s="13" t="s">
        <v>2312</v>
      </c>
      <c r="D839" s="13">
        <v>0</v>
      </c>
      <c r="E839" s="13">
        <v>1</v>
      </c>
      <c r="F839" s="13">
        <v>2</v>
      </c>
      <c r="G839" s="13">
        <v>0</v>
      </c>
      <c r="H839" s="13">
        <v>-1</v>
      </c>
      <c r="I839" s="13">
        <v>-1</v>
      </c>
      <c r="J839" s="13">
        <v>1</v>
      </c>
      <c r="K839" s="13">
        <v>1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-1</v>
      </c>
    </row>
    <row r="840" spans="1:45" ht="23" customHeight="1">
      <c r="A840" s="13" t="s">
        <v>1756</v>
      </c>
      <c r="B840" s="13" t="s">
        <v>1755</v>
      </c>
      <c r="C840" s="13" t="s">
        <v>2313</v>
      </c>
      <c r="D840" s="13">
        <v>0</v>
      </c>
      <c r="E840" s="13">
        <v>1</v>
      </c>
      <c r="F840" s="13">
        <v>1</v>
      </c>
      <c r="G840" s="13">
        <v>0</v>
      </c>
      <c r="H840" s="13">
        <v>0</v>
      </c>
      <c r="I840" s="13">
        <v>0</v>
      </c>
      <c r="J840" s="13">
        <v>1</v>
      </c>
      <c r="K840" s="13">
        <v>1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</row>
    <row r="841" spans="1:45" ht="34" customHeight="1">
      <c r="A841" s="13" t="s">
        <v>1757</v>
      </c>
      <c r="B841" s="13" t="s">
        <v>1758</v>
      </c>
      <c r="C841" s="13"/>
      <c r="D841" s="13">
        <v>0</v>
      </c>
      <c r="E841" s="13">
        <v>1</v>
      </c>
      <c r="F841" s="13">
        <v>1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</row>
    <row r="842" spans="1:45" ht="20" customHeight="1">
      <c r="A842" s="13" t="s">
        <v>1759</v>
      </c>
      <c r="B842" s="13" t="s">
        <v>1760</v>
      </c>
      <c r="C842" s="13"/>
      <c r="D842" s="13">
        <v>0</v>
      </c>
      <c r="E842" s="13">
        <v>1</v>
      </c>
      <c r="F842" s="13">
        <v>2</v>
      </c>
      <c r="G842" s="13">
        <v>0</v>
      </c>
      <c r="H842" s="13">
        <v>-1</v>
      </c>
      <c r="I842" s="13">
        <v>-2</v>
      </c>
      <c r="J842" s="13">
        <v>1</v>
      </c>
      <c r="K842" s="13">
        <v>1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-1</v>
      </c>
    </row>
    <row r="843" spans="1:45" ht="23" customHeight="1">
      <c r="A843" s="13" t="s">
        <v>1762</v>
      </c>
      <c r="B843" s="13" t="s">
        <v>1763</v>
      </c>
      <c r="C843" s="13"/>
      <c r="D843" s="13">
        <v>0</v>
      </c>
      <c r="E843" s="13">
        <v>1</v>
      </c>
      <c r="F843" s="13">
        <v>1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</row>
    <row r="844" spans="1:45" ht="20" customHeight="1">
      <c r="A844" s="13" t="s">
        <v>1764</v>
      </c>
      <c r="B844" s="13" t="s">
        <v>1765</v>
      </c>
      <c r="C844" s="13"/>
      <c r="D844" s="13">
        <v>0</v>
      </c>
      <c r="E844" s="13">
        <v>1</v>
      </c>
      <c r="F844" s="13">
        <v>2</v>
      </c>
      <c r="G844" s="13">
        <v>0</v>
      </c>
      <c r="H844" s="13">
        <v>-1</v>
      </c>
      <c r="I844" s="13">
        <v>-3</v>
      </c>
      <c r="J844" s="13">
        <v>1</v>
      </c>
      <c r="K844" s="13">
        <v>1</v>
      </c>
      <c r="L844" s="13">
        <v>0</v>
      </c>
      <c r="M844" s="13">
        <v>0</v>
      </c>
      <c r="N844" s="13">
        <v>-1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-1</v>
      </c>
    </row>
    <row r="845" spans="1:45" ht="34" customHeight="1">
      <c r="A845" s="13" t="s">
        <v>1766</v>
      </c>
      <c r="B845" s="13" t="s">
        <v>1767</v>
      </c>
      <c r="C845" s="13"/>
      <c r="D845" s="13">
        <v>0</v>
      </c>
      <c r="E845" s="13">
        <v>1</v>
      </c>
      <c r="F845" s="13">
        <v>3</v>
      </c>
      <c r="G845" s="13">
        <v>0</v>
      </c>
      <c r="H845" s="13">
        <v>-2</v>
      </c>
      <c r="I845" s="13">
        <v>0</v>
      </c>
      <c r="J845" s="13">
        <v>1</v>
      </c>
      <c r="K845" s="13">
        <v>1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</row>
    <row r="846" spans="1:45" ht="23" customHeight="1">
      <c r="A846" s="13" t="s">
        <v>1768</v>
      </c>
      <c r="B846" s="13" t="s">
        <v>1769</v>
      </c>
      <c r="C846" s="13" t="s">
        <v>2314</v>
      </c>
      <c r="D846" s="13">
        <v>0</v>
      </c>
      <c r="E846" s="13">
        <v>1</v>
      </c>
      <c r="F846" s="13">
        <v>12</v>
      </c>
      <c r="G846" s="13">
        <v>0</v>
      </c>
      <c r="H846" s="13">
        <v>-11</v>
      </c>
      <c r="I846" s="13">
        <v>-2</v>
      </c>
      <c r="J846" s="13">
        <v>1</v>
      </c>
      <c r="K846" s="13">
        <v>2</v>
      </c>
      <c r="L846" s="13">
        <v>0</v>
      </c>
      <c r="M846" s="13">
        <v>-1</v>
      </c>
      <c r="N846" s="13">
        <v>-3</v>
      </c>
      <c r="O846" s="13">
        <v>0</v>
      </c>
      <c r="P846" s="13">
        <v>2</v>
      </c>
      <c r="Q846" s="13">
        <v>0</v>
      </c>
      <c r="R846" s="13">
        <v>-2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-1</v>
      </c>
      <c r="AS846" s="13">
        <v>-14</v>
      </c>
    </row>
    <row r="847" spans="1:45" ht="34" customHeight="1">
      <c r="A847" s="13" t="s">
        <v>1770</v>
      </c>
      <c r="B847" s="13" t="s">
        <v>1771</v>
      </c>
      <c r="C847" s="13"/>
      <c r="D847" s="13">
        <v>2</v>
      </c>
      <c r="E847" s="13">
        <v>0</v>
      </c>
      <c r="F847" s="13">
        <v>3</v>
      </c>
      <c r="G847" s="13">
        <v>0</v>
      </c>
      <c r="H847" s="13">
        <v>-3</v>
      </c>
      <c r="I847" s="13">
        <v>-8</v>
      </c>
      <c r="J847" s="13">
        <v>1</v>
      </c>
      <c r="K847" s="13">
        <v>5</v>
      </c>
      <c r="L847" s="13">
        <v>0</v>
      </c>
      <c r="M847" s="13">
        <v>-4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-5</v>
      </c>
    </row>
    <row r="848" spans="1:45" ht="23" customHeight="1">
      <c r="A848" s="13" t="s">
        <v>1772</v>
      </c>
      <c r="B848" s="13" t="s">
        <v>1773</v>
      </c>
      <c r="C848" s="13" t="s">
        <v>2315</v>
      </c>
      <c r="D848" s="13">
        <v>0</v>
      </c>
      <c r="E848" s="13">
        <v>1</v>
      </c>
      <c r="F848" s="13">
        <v>2</v>
      </c>
      <c r="G848" s="13">
        <v>0</v>
      </c>
      <c r="H848" s="13">
        <v>-1</v>
      </c>
      <c r="I848" s="13">
        <v>-2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</row>
    <row r="849" spans="1:45" ht="34" customHeight="1">
      <c r="A849" s="13" t="s">
        <v>1774</v>
      </c>
      <c r="B849" s="13" t="s">
        <v>1775</v>
      </c>
      <c r="C849" s="13" t="s">
        <v>2316</v>
      </c>
      <c r="D849" s="13">
        <v>0</v>
      </c>
      <c r="E849" s="13">
        <v>1</v>
      </c>
      <c r="F849" s="13">
        <v>1</v>
      </c>
      <c r="G849" s="13">
        <v>0</v>
      </c>
      <c r="H849" s="13">
        <v>0</v>
      </c>
      <c r="I849" s="13">
        <v>-1</v>
      </c>
      <c r="J849" s="13">
        <v>1</v>
      </c>
      <c r="K849" s="13">
        <v>1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</row>
    <row r="850" spans="1:45" ht="20" customHeight="1">
      <c r="A850" s="13" t="s">
        <v>1776</v>
      </c>
      <c r="B850" s="13" t="s">
        <v>1777</v>
      </c>
      <c r="C850" s="13" t="s">
        <v>2317</v>
      </c>
      <c r="D850" s="13">
        <v>0</v>
      </c>
      <c r="E850" s="13">
        <v>1</v>
      </c>
      <c r="F850" s="13">
        <v>1</v>
      </c>
      <c r="G850" s="13">
        <v>0</v>
      </c>
      <c r="H850" s="13">
        <v>0</v>
      </c>
      <c r="I850" s="13">
        <v>0</v>
      </c>
      <c r="J850" s="13">
        <v>0</v>
      </c>
      <c r="K850" s="13">
        <v>1</v>
      </c>
      <c r="L850" s="13">
        <v>0</v>
      </c>
      <c r="M850" s="13">
        <v>-1</v>
      </c>
      <c r="N850" s="13">
        <v>-1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-1</v>
      </c>
    </row>
    <row r="851" spans="1:45" ht="34" customHeight="1">
      <c r="A851" s="13" t="s">
        <v>1778</v>
      </c>
      <c r="B851" s="13" t="s">
        <v>1779</v>
      </c>
      <c r="C851" s="13" t="s">
        <v>2318</v>
      </c>
      <c r="D851" s="13">
        <v>4</v>
      </c>
      <c r="E851" s="13">
        <v>1</v>
      </c>
      <c r="F851" s="13">
        <v>1</v>
      </c>
      <c r="G851" s="13">
        <v>0</v>
      </c>
      <c r="H851" s="13">
        <v>0</v>
      </c>
      <c r="I851" s="13">
        <v>-3</v>
      </c>
      <c r="J851" s="13">
        <v>1</v>
      </c>
      <c r="K851" s="13">
        <v>0</v>
      </c>
      <c r="L851" s="13">
        <v>0</v>
      </c>
      <c r="M851" s="14">
        <v>1</v>
      </c>
      <c r="N851" s="13">
        <v>-3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4">
        <v>1</v>
      </c>
    </row>
    <row r="852" spans="1:45" ht="20" customHeight="1">
      <c r="A852" s="13" t="s">
        <v>1780</v>
      </c>
      <c r="B852" s="13" t="s">
        <v>1781</v>
      </c>
      <c r="C852" s="13"/>
      <c r="D852" s="13">
        <v>1</v>
      </c>
      <c r="E852" s="13">
        <v>1</v>
      </c>
      <c r="F852" s="13">
        <v>1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-2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</row>
    <row r="853" spans="1:45" ht="23" customHeight="1">
      <c r="A853" s="13" t="s">
        <v>1782</v>
      </c>
      <c r="B853" s="13" t="s">
        <v>1275</v>
      </c>
      <c r="C853" s="13"/>
      <c r="D853" s="13">
        <v>0</v>
      </c>
      <c r="E853" s="13">
        <v>1</v>
      </c>
      <c r="F853" s="13">
        <v>1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-1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</row>
    <row r="854" spans="1:45" ht="34" customHeight="1">
      <c r="A854" s="13" t="s">
        <v>1783</v>
      </c>
      <c r="B854" s="13" t="s">
        <v>1784</v>
      </c>
      <c r="C854" s="13"/>
      <c r="D854" s="13">
        <v>2</v>
      </c>
      <c r="E854" s="13">
        <v>0</v>
      </c>
      <c r="F854" s="13">
        <v>0</v>
      </c>
      <c r="G854" s="13">
        <v>0</v>
      </c>
      <c r="H854" s="13">
        <v>0</v>
      </c>
      <c r="I854" s="13">
        <v>-1</v>
      </c>
      <c r="J854" s="13">
        <v>1</v>
      </c>
      <c r="K854" s="13">
        <v>0</v>
      </c>
      <c r="L854" s="13">
        <v>0</v>
      </c>
      <c r="M854" s="14">
        <v>1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4">
        <v>1</v>
      </c>
    </row>
    <row r="855" spans="1:45" ht="23" customHeight="1">
      <c r="A855" s="13" t="s">
        <v>1785</v>
      </c>
      <c r="B855" s="13" t="s">
        <v>1786</v>
      </c>
      <c r="C855" s="13" t="s">
        <v>2319</v>
      </c>
      <c r="D855" s="13">
        <v>0</v>
      </c>
      <c r="E855" s="13">
        <v>1</v>
      </c>
      <c r="F855" s="13">
        <v>2</v>
      </c>
      <c r="G855" s="13">
        <v>0</v>
      </c>
      <c r="H855" s="13">
        <v>-1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-1</v>
      </c>
    </row>
    <row r="856" spans="1:45" ht="58" customHeight="1">
      <c r="A856" s="13" t="s">
        <v>1787</v>
      </c>
      <c r="B856" s="13" t="s">
        <v>1788</v>
      </c>
      <c r="C856" s="13" t="s">
        <v>2320</v>
      </c>
      <c r="D856" s="13">
        <v>1</v>
      </c>
      <c r="E856" s="13">
        <v>1</v>
      </c>
      <c r="F856" s="13">
        <v>2</v>
      </c>
      <c r="G856" s="13">
        <v>0</v>
      </c>
      <c r="H856" s="13">
        <v>-1</v>
      </c>
      <c r="I856" s="13">
        <v>-2</v>
      </c>
      <c r="J856" s="13">
        <v>1</v>
      </c>
      <c r="K856" s="13">
        <v>1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-1</v>
      </c>
    </row>
    <row r="857" spans="1:45" ht="23" customHeight="1">
      <c r="A857" s="13" t="s">
        <v>1789</v>
      </c>
      <c r="B857" s="13" t="s">
        <v>1790</v>
      </c>
      <c r="C857" s="13"/>
      <c r="D857" s="13">
        <v>0</v>
      </c>
      <c r="E857" s="13">
        <v>1</v>
      </c>
      <c r="F857" s="13">
        <v>2</v>
      </c>
      <c r="G857" s="13">
        <v>0</v>
      </c>
      <c r="H857" s="13">
        <v>-1</v>
      </c>
      <c r="I857" s="13">
        <v>-2</v>
      </c>
      <c r="J857" s="13">
        <v>1</v>
      </c>
      <c r="K857" s="13">
        <v>2</v>
      </c>
      <c r="L857" s="13">
        <v>0</v>
      </c>
      <c r="M857" s="13">
        <v>-1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</row>
    <row r="858" spans="1:45" ht="23" customHeight="1">
      <c r="A858" s="13" t="s">
        <v>1791</v>
      </c>
      <c r="B858" s="13" t="s">
        <v>1792</v>
      </c>
      <c r="C858" s="13"/>
      <c r="D858" s="13">
        <v>0</v>
      </c>
      <c r="E858" s="13">
        <v>1</v>
      </c>
      <c r="F858" s="13">
        <v>3</v>
      </c>
      <c r="G858" s="13">
        <v>0</v>
      </c>
      <c r="H858" s="13">
        <v>-2</v>
      </c>
      <c r="I858" s="13">
        <v>-2</v>
      </c>
      <c r="J858" s="13">
        <v>1</v>
      </c>
      <c r="K858" s="13">
        <v>1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-2</v>
      </c>
    </row>
    <row r="859" spans="1:45" ht="34" customHeight="1">
      <c r="A859" s="13" t="s">
        <v>1793</v>
      </c>
      <c r="B859" s="13" t="s">
        <v>1794</v>
      </c>
      <c r="C859" s="13" t="s">
        <v>2321</v>
      </c>
      <c r="D859" s="13">
        <v>0</v>
      </c>
      <c r="E859" s="13">
        <v>1</v>
      </c>
      <c r="F859" s="13">
        <v>7</v>
      </c>
      <c r="G859" s="13">
        <v>0</v>
      </c>
      <c r="H859" s="13">
        <v>-6</v>
      </c>
      <c r="I859" s="13">
        <v>-7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-6</v>
      </c>
    </row>
    <row r="860" spans="1:45" ht="23" customHeight="1">
      <c r="A860" s="13" t="s">
        <v>1795</v>
      </c>
      <c r="B860" s="13" t="s">
        <v>1796</v>
      </c>
      <c r="C860" s="13"/>
      <c r="D860" s="13">
        <v>0</v>
      </c>
      <c r="E860" s="13">
        <v>1</v>
      </c>
      <c r="F860" s="13">
        <v>0</v>
      </c>
      <c r="G860" s="13">
        <v>0</v>
      </c>
      <c r="H860" s="14">
        <v>1</v>
      </c>
      <c r="I860" s="13">
        <v>-2</v>
      </c>
      <c r="J860" s="13">
        <v>1</v>
      </c>
      <c r="K860" s="13">
        <v>1</v>
      </c>
      <c r="L860" s="13">
        <v>0</v>
      </c>
      <c r="M860" s="13">
        <v>0</v>
      </c>
      <c r="N860" s="13">
        <v>-1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-1</v>
      </c>
      <c r="AS860" s="14">
        <v>1</v>
      </c>
    </row>
    <row r="861" spans="1:45" ht="23" customHeight="1">
      <c r="A861" s="13" t="s">
        <v>1797</v>
      </c>
      <c r="B861" s="13" t="s">
        <v>1798</v>
      </c>
      <c r="C861" s="13"/>
      <c r="D861" s="13">
        <v>0</v>
      </c>
      <c r="E861" s="13">
        <v>2</v>
      </c>
      <c r="F861" s="13">
        <v>0</v>
      </c>
      <c r="G861" s="13">
        <v>0</v>
      </c>
      <c r="H861" s="14">
        <v>2</v>
      </c>
      <c r="I861" s="13">
        <v>0</v>
      </c>
      <c r="J861" s="13">
        <v>2</v>
      </c>
      <c r="K861" s="13">
        <v>0</v>
      </c>
      <c r="L861" s="13">
        <v>0</v>
      </c>
      <c r="M861" s="14">
        <v>2</v>
      </c>
      <c r="N861" s="13">
        <v>-5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4">
        <v>4</v>
      </c>
    </row>
    <row r="862" spans="1:45" ht="23" customHeight="1">
      <c r="A862" s="13" t="s">
        <v>1799</v>
      </c>
      <c r="B862" s="13" t="s">
        <v>1800</v>
      </c>
      <c r="C862" s="13"/>
      <c r="D862" s="13">
        <v>0</v>
      </c>
      <c r="E862" s="13">
        <v>3</v>
      </c>
      <c r="F862" s="13">
        <v>2</v>
      </c>
      <c r="G862" s="13">
        <v>0</v>
      </c>
      <c r="H862" s="14">
        <v>1</v>
      </c>
      <c r="I862" s="13">
        <v>-14</v>
      </c>
      <c r="J862" s="13">
        <v>3</v>
      </c>
      <c r="K862" s="13">
        <v>1</v>
      </c>
      <c r="L862" s="13">
        <v>0</v>
      </c>
      <c r="M862" s="14">
        <v>2</v>
      </c>
      <c r="N862" s="13">
        <v>-1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4">
        <v>3</v>
      </c>
    </row>
    <row r="863" spans="1:45" ht="23" customHeight="1">
      <c r="A863" s="13" t="s">
        <v>1801</v>
      </c>
      <c r="B863" s="13" t="s">
        <v>1802</v>
      </c>
      <c r="C863" s="13"/>
      <c r="D863" s="13">
        <v>0</v>
      </c>
      <c r="E863" s="13">
        <v>1</v>
      </c>
      <c r="F863" s="13">
        <v>2</v>
      </c>
      <c r="G863" s="13">
        <v>0</v>
      </c>
      <c r="H863" s="13">
        <v>-1</v>
      </c>
      <c r="I863" s="13">
        <v>-1</v>
      </c>
      <c r="J863" s="13">
        <v>1</v>
      </c>
      <c r="K863" s="13">
        <v>1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-1</v>
      </c>
    </row>
    <row r="864" spans="1:45" ht="360" customHeight="1">
      <c r="A864" s="13" t="s">
        <v>1803</v>
      </c>
      <c r="B864" s="13" t="s">
        <v>1804</v>
      </c>
      <c r="C864" s="13" t="s">
        <v>2322</v>
      </c>
      <c r="D864" s="13">
        <v>1</v>
      </c>
      <c r="E864" s="13">
        <v>1</v>
      </c>
      <c r="F864" s="13">
        <v>0</v>
      </c>
      <c r="G864" s="13">
        <v>0</v>
      </c>
      <c r="H864" s="14">
        <v>1</v>
      </c>
      <c r="I864" s="13">
        <v>-4</v>
      </c>
      <c r="J864" s="13">
        <v>1</v>
      </c>
      <c r="K864" s="13">
        <v>0</v>
      </c>
      <c r="L864" s="13">
        <v>0</v>
      </c>
      <c r="M864" s="14">
        <v>1</v>
      </c>
      <c r="N864" s="13">
        <v>-4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4">
        <v>2</v>
      </c>
    </row>
    <row r="865" spans="1:45" ht="46" customHeight="1">
      <c r="A865" s="13" t="s">
        <v>1805</v>
      </c>
      <c r="B865" s="13" t="s">
        <v>1804</v>
      </c>
      <c r="C865" s="13" t="s">
        <v>2323</v>
      </c>
      <c r="D865" s="13">
        <v>1</v>
      </c>
      <c r="E865" s="13">
        <v>0</v>
      </c>
      <c r="F865" s="13">
        <v>0</v>
      </c>
      <c r="G865" s="13">
        <v>0</v>
      </c>
      <c r="H865" s="13">
        <v>0</v>
      </c>
      <c r="I865" s="13">
        <v>-5</v>
      </c>
      <c r="J865" s="13">
        <v>1</v>
      </c>
      <c r="K865" s="13">
        <v>1</v>
      </c>
      <c r="L865" s="13">
        <v>0</v>
      </c>
      <c r="M865" s="13">
        <v>0</v>
      </c>
      <c r="N865" s="13">
        <v>-5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</row>
    <row r="866" spans="1:45" ht="69" customHeight="1">
      <c r="A866" s="13" t="s">
        <v>1806</v>
      </c>
      <c r="B866" s="13" t="s">
        <v>1807</v>
      </c>
      <c r="C866" s="13" t="s">
        <v>2324</v>
      </c>
      <c r="D866" s="13">
        <v>0</v>
      </c>
      <c r="E866" s="13">
        <v>1</v>
      </c>
      <c r="F866" s="13">
        <v>1</v>
      </c>
      <c r="G866" s="13">
        <v>0</v>
      </c>
      <c r="H866" s="13">
        <v>0</v>
      </c>
      <c r="I866" s="13">
        <v>-5</v>
      </c>
      <c r="J866" s="13">
        <v>1</v>
      </c>
      <c r="K866" s="13">
        <v>0</v>
      </c>
      <c r="L866" s="13">
        <v>0</v>
      </c>
      <c r="M866" s="14">
        <v>1</v>
      </c>
      <c r="N866" s="13">
        <v>-5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4">
        <v>1</v>
      </c>
    </row>
    <row r="867" spans="1:45" ht="58" customHeight="1">
      <c r="A867" s="13" t="s">
        <v>1808</v>
      </c>
      <c r="B867" s="13" t="s">
        <v>1807</v>
      </c>
      <c r="C867" s="13" t="s">
        <v>2325</v>
      </c>
      <c r="D867" s="13">
        <v>0</v>
      </c>
      <c r="E867" s="13">
        <v>0</v>
      </c>
      <c r="F867" s="13">
        <v>1</v>
      </c>
      <c r="G867" s="13">
        <v>0</v>
      </c>
      <c r="H867" s="13">
        <v>-1</v>
      </c>
      <c r="I867" s="13">
        <v>-5</v>
      </c>
      <c r="J867" s="13">
        <v>1</v>
      </c>
      <c r="K867" s="13">
        <v>0</v>
      </c>
      <c r="L867" s="13">
        <v>0</v>
      </c>
      <c r="M867" s="14">
        <v>1</v>
      </c>
      <c r="N867" s="13">
        <v>-2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</row>
    <row r="868" spans="1:45" ht="23" customHeight="1">
      <c r="A868" s="13" t="s">
        <v>1809</v>
      </c>
      <c r="B868" s="13" t="s">
        <v>1810</v>
      </c>
      <c r="C868" s="13" t="s">
        <v>2326</v>
      </c>
      <c r="D868" s="13">
        <v>0</v>
      </c>
      <c r="E868" s="13">
        <v>1</v>
      </c>
      <c r="F868" s="13">
        <v>1</v>
      </c>
      <c r="G868" s="13">
        <v>0</v>
      </c>
      <c r="H868" s="13">
        <v>0</v>
      </c>
      <c r="I868" s="13">
        <v>-1</v>
      </c>
      <c r="J868" s="13">
        <v>0</v>
      </c>
      <c r="K868" s="13">
        <v>1</v>
      </c>
      <c r="L868" s="13">
        <v>0</v>
      </c>
      <c r="M868" s="13">
        <v>-1</v>
      </c>
      <c r="N868" s="13">
        <v>-1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-1</v>
      </c>
    </row>
    <row r="869" spans="1:45" ht="34" customHeight="1">
      <c r="A869" s="13" t="s">
        <v>1811</v>
      </c>
      <c r="B869" s="13" t="s">
        <v>1812</v>
      </c>
      <c r="C869" s="13"/>
      <c r="D869" s="13">
        <v>0</v>
      </c>
      <c r="E869" s="13">
        <v>1</v>
      </c>
      <c r="F869" s="13">
        <v>3</v>
      </c>
      <c r="G869" s="13">
        <v>0</v>
      </c>
      <c r="H869" s="13">
        <v>-2</v>
      </c>
      <c r="I869" s="13">
        <v>0</v>
      </c>
      <c r="J869" s="13">
        <v>0</v>
      </c>
      <c r="K869" s="13">
        <v>3</v>
      </c>
      <c r="L869" s="13">
        <v>0</v>
      </c>
      <c r="M869" s="13">
        <v>-3</v>
      </c>
      <c r="N869" s="13">
        <v>-1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-5</v>
      </c>
    </row>
    <row r="870" spans="1:45" ht="34" customHeight="1">
      <c r="A870" s="13" t="s">
        <v>1813</v>
      </c>
      <c r="B870" s="13" t="s">
        <v>1814</v>
      </c>
      <c r="C870" s="13" t="s">
        <v>2327</v>
      </c>
      <c r="D870" s="13">
        <v>0</v>
      </c>
      <c r="E870" s="13">
        <v>1</v>
      </c>
      <c r="F870" s="13">
        <v>3</v>
      </c>
      <c r="G870" s="13">
        <v>0</v>
      </c>
      <c r="H870" s="13">
        <v>-2</v>
      </c>
      <c r="I870" s="13">
        <v>-1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-2</v>
      </c>
    </row>
    <row r="871" spans="1:45" ht="81" customHeight="1">
      <c r="A871" s="13" t="s">
        <v>1815</v>
      </c>
      <c r="B871" s="13" t="s">
        <v>1816</v>
      </c>
      <c r="C871" s="13" t="s">
        <v>2328</v>
      </c>
      <c r="D871" s="13">
        <v>1</v>
      </c>
      <c r="E871" s="13">
        <v>1</v>
      </c>
      <c r="F871" s="13">
        <v>2</v>
      </c>
      <c r="G871" s="13">
        <v>0</v>
      </c>
      <c r="H871" s="13">
        <v>-1</v>
      </c>
      <c r="I871" s="13">
        <v>-3</v>
      </c>
      <c r="J871" s="13">
        <v>0</v>
      </c>
      <c r="K871" s="13">
        <v>0</v>
      </c>
      <c r="L871" s="13">
        <v>0</v>
      </c>
      <c r="M871" s="13">
        <v>0</v>
      </c>
      <c r="N871" s="13">
        <v>-1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-1</v>
      </c>
    </row>
    <row r="872" spans="1:45" ht="34" customHeight="1">
      <c r="A872" s="13" t="s">
        <v>1817</v>
      </c>
      <c r="B872" s="13" t="s">
        <v>1818</v>
      </c>
      <c r="C872" s="13" t="s">
        <v>2329</v>
      </c>
      <c r="D872" s="13">
        <v>1</v>
      </c>
      <c r="E872" s="13">
        <v>1</v>
      </c>
      <c r="F872" s="13">
        <v>1</v>
      </c>
      <c r="G872" s="13">
        <v>0</v>
      </c>
      <c r="H872" s="13">
        <v>0</v>
      </c>
      <c r="I872" s="13">
        <v>-1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</row>
    <row r="873" spans="1:45" ht="23" customHeight="1">
      <c r="A873" s="13" t="s">
        <v>1819</v>
      </c>
      <c r="B873" s="13" t="s">
        <v>1820</v>
      </c>
      <c r="C873" s="13" t="s">
        <v>2330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1</v>
      </c>
      <c r="K873" s="13">
        <v>1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</row>
    <row r="874" spans="1:45" ht="23" customHeight="1">
      <c r="A874" s="13" t="s">
        <v>1821</v>
      </c>
      <c r="B874" s="13" t="s">
        <v>1822</v>
      </c>
      <c r="C874" s="13" t="s">
        <v>2331</v>
      </c>
      <c r="D874" s="13">
        <v>0</v>
      </c>
      <c r="E874" s="13">
        <v>1</v>
      </c>
      <c r="F874" s="13">
        <v>4</v>
      </c>
      <c r="G874" s="13">
        <v>0</v>
      </c>
      <c r="H874" s="13">
        <v>-3</v>
      </c>
      <c r="I874" s="13">
        <v>0</v>
      </c>
      <c r="J874" s="13">
        <v>1</v>
      </c>
      <c r="K874" s="13">
        <v>1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-3</v>
      </c>
    </row>
    <row r="875" spans="1:45" ht="23" customHeight="1">
      <c r="A875" s="13" t="s">
        <v>1823</v>
      </c>
      <c r="B875" s="13" t="s">
        <v>1824</v>
      </c>
      <c r="C875" s="13" t="s">
        <v>2332</v>
      </c>
      <c r="D875" s="13">
        <v>0</v>
      </c>
      <c r="E875" s="13">
        <v>1</v>
      </c>
      <c r="F875" s="13">
        <v>1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-1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</row>
    <row r="876" spans="1:45" ht="23" customHeight="1">
      <c r="A876" s="13" t="s">
        <v>1825</v>
      </c>
      <c r="B876" s="13" t="s">
        <v>1826</v>
      </c>
      <c r="C876" s="13"/>
      <c r="D876" s="13">
        <v>0</v>
      </c>
      <c r="E876" s="13">
        <v>1</v>
      </c>
      <c r="F876" s="13">
        <v>4</v>
      </c>
      <c r="G876" s="13">
        <v>0</v>
      </c>
      <c r="H876" s="13">
        <v>-3</v>
      </c>
      <c r="I876" s="13">
        <v>-2</v>
      </c>
      <c r="J876" s="13">
        <v>0</v>
      </c>
      <c r="K876" s="13">
        <v>1</v>
      </c>
      <c r="L876" s="13">
        <v>0</v>
      </c>
      <c r="M876" s="13">
        <v>-1</v>
      </c>
      <c r="N876" s="13">
        <v>-1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-4</v>
      </c>
    </row>
    <row r="877" spans="1:45" ht="20" customHeight="1">
      <c r="A877" s="13" t="s">
        <v>1827</v>
      </c>
      <c r="B877" s="13" t="s">
        <v>1828</v>
      </c>
      <c r="C877" s="13"/>
      <c r="D877" s="13">
        <v>0</v>
      </c>
      <c r="E877" s="13">
        <v>1</v>
      </c>
      <c r="F877" s="13">
        <v>0</v>
      </c>
      <c r="G877" s="13">
        <v>0</v>
      </c>
      <c r="H877" s="14">
        <v>1</v>
      </c>
      <c r="I877" s="13">
        <v>-3</v>
      </c>
      <c r="J877" s="13">
        <v>1</v>
      </c>
      <c r="K877" s="13">
        <v>1</v>
      </c>
      <c r="L877" s="13">
        <v>0</v>
      </c>
      <c r="M877" s="13">
        <v>0</v>
      </c>
      <c r="N877" s="13">
        <v>-7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4">
        <v>1</v>
      </c>
    </row>
    <row r="878" spans="1:45" ht="20" customHeight="1">
      <c r="A878" s="13" t="s">
        <v>1830</v>
      </c>
      <c r="B878" s="13" t="s">
        <v>1831</v>
      </c>
      <c r="C878" s="13"/>
      <c r="D878" s="13">
        <v>0</v>
      </c>
      <c r="E878" s="13">
        <v>1</v>
      </c>
      <c r="F878" s="13">
        <v>6</v>
      </c>
      <c r="G878" s="13">
        <v>0</v>
      </c>
      <c r="H878" s="13">
        <v>-5</v>
      </c>
      <c r="I878" s="13">
        <v>-1</v>
      </c>
      <c r="J878" s="13">
        <v>0</v>
      </c>
      <c r="K878" s="13">
        <v>1</v>
      </c>
      <c r="L878" s="13">
        <v>0</v>
      </c>
      <c r="M878" s="13">
        <v>-1</v>
      </c>
      <c r="N878" s="13">
        <v>-1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-3</v>
      </c>
    </row>
    <row r="879" spans="1:45" ht="20" customHeight="1">
      <c r="A879" s="13" t="s">
        <v>1833</v>
      </c>
      <c r="B879" s="13" t="s">
        <v>1834</v>
      </c>
      <c r="C879" s="13"/>
      <c r="D879" s="13">
        <v>0</v>
      </c>
      <c r="E879" s="13">
        <v>1</v>
      </c>
      <c r="F879" s="13">
        <v>2</v>
      </c>
      <c r="G879" s="13">
        <v>0</v>
      </c>
      <c r="H879" s="13">
        <v>-1</v>
      </c>
      <c r="I879" s="13">
        <v>-2</v>
      </c>
      <c r="J879" s="13">
        <v>1</v>
      </c>
      <c r="K879" s="13">
        <v>1</v>
      </c>
      <c r="L879" s="13">
        <v>0</v>
      </c>
      <c r="M879" s="13">
        <v>0</v>
      </c>
      <c r="N879" s="13">
        <v>-2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-1</v>
      </c>
    </row>
    <row r="880" spans="1:45" ht="20" customHeight="1">
      <c r="A880" s="13" t="s">
        <v>1835</v>
      </c>
      <c r="B880" s="13" t="s">
        <v>1836</v>
      </c>
      <c r="C880" s="13"/>
      <c r="D880" s="13">
        <v>1</v>
      </c>
      <c r="E880" s="13">
        <v>1</v>
      </c>
      <c r="F880" s="13">
        <v>13</v>
      </c>
      <c r="G880" s="13">
        <v>0</v>
      </c>
      <c r="H880" s="13">
        <v>-12</v>
      </c>
      <c r="I880" s="13">
        <v>-5</v>
      </c>
      <c r="J880" s="13">
        <v>1</v>
      </c>
      <c r="K880" s="13">
        <v>1</v>
      </c>
      <c r="L880" s="13">
        <v>0</v>
      </c>
      <c r="M880" s="13">
        <v>0</v>
      </c>
      <c r="N880" s="13">
        <v>-2</v>
      </c>
      <c r="O880" s="13">
        <v>0</v>
      </c>
      <c r="P880" s="13">
        <v>1</v>
      </c>
      <c r="Q880" s="13">
        <v>0</v>
      </c>
      <c r="R880" s="13">
        <v>-1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-8</v>
      </c>
    </row>
    <row r="881" spans="1:45" ht="20" customHeight="1">
      <c r="A881" s="13" t="s">
        <v>1837</v>
      </c>
      <c r="B881" s="13" t="s">
        <v>1836</v>
      </c>
      <c r="C881" s="13"/>
      <c r="D881" s="13">
        <v>1</v>
      </c>
      <c r="E881" s="13">
        <v>1</v>
      </c>
      <c r="F881" s="13">
        <v>15</v>
      </c>
      <c r="G881" s="13">
        <v>0</v>
      </c>
      <c r="H881" s="13">
        <v>-14</v>
      </c>
      <c r="I881" s="13">
        <v>-6</v>
      </c>
      <c r="J881" s="13">
        <v>1</v>
      </c>
      <c r="K881" s="13">
        <v>1</v>
      </c>
      <c r="L881" s="13">
        <v>0</v>
      </c>
      <c r="M881" s="13">
        <v>0</v>
      </c>
      <c r="N881" s="13">
        <v>-4</v>
      </c>
      <c r="O881" s="13">
        <v>0</v>
      </c>
      <c r="P881" s="13">
        <v>1</v>
      </c>
      <c r="Q881" s="13">
        <v>0</v>
      </c>
      <c r="R881" s="13">
        <v>-1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-1</v>
      </c>
      <c r="AS881" s="13">
        <v>-6</v>
      </c>
    </row>
    <row r="882" spans="1:45" ht="23" customHeight="1">
      <c r="A882" s="13" t="s">
        <v>1838</v>
      </c>
      <c r="B882" s="13" t="s">
        <v>1839</v>
      </c>
      <c r="C882" s="13" t="s">
        <v>2333</v>
      </c>
      <c r="D882" s="13">
        <v>0</v>
      </c>
      <c r="E882" s="13">
        <v>1</v>
      </c>
      <c r="F882" s="13">
        <v>1</v>
      </c>
      <c r="G882" s="13">
        <v>0</v>
      </c>
      <c r="H882" s="13">
        <v>0</v>
      </c>
      <c r="I882" s="13">
        <v>-1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</row>
    <row r="883" spans="1:45" ht="23" customHeight="1">
      <c r="A883" s="13" t="s">
        <v>1840</v>
      </c>
      <c r="B883" s="13" t="s">
        <v>1841</v>
      </c>
      <c r="C883" s="13" t="s">
        <v>2334</v>
      </c>
      <c r="D883" s="13">
        <v>0</v>
      </c>
      <c r="E883" s="13">
        <v>1</v>
      </c>
      <c r="F883" s="13">
        <v>1</v>
      </c>
      <c r="G883" s="13">
        <v>0</v>
      </c>
      <c r="H883" s="13">
        <v>0</v>
      </c>
      <c r="I883" s="13">
        <v>-1</v>
      </c>
      <c r="J883" s="13">
        <v>1</v>
      </c>
      <c r="K883" s="13">
        <v>1</v>
      </c>
      <c r="L883" s="13">
        <v>0</v>
      </c>
      <c r="M883" s="13">
        <v>0</v>
      </c>
      <c r="N883" s="13">
        <v>-1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</row>
    <row r="884" spans="1:45" ht="23" customHeight="1">
      <c r="A884" s="13" t="s">
        <v>1843</v>
      </c>
      <c r="B884" s="13" t="s">
        <v>1844</v>
      </c>
      <c r="C884" s="13"/>
      <c r="D884" s="13">
        <v>0</v>
      </c>
      <c r="E884" s="13">
        <v>1</v>
      </c>
      <c r="F884" s="13">
        <v>2</v>
      </c>
      <c r="G884" s="13">
        <v>0</v>
      </c>
      <c r="H884" s="13">
        <v>-1</v>
      </c>
      <c r="I884" s="13">
        <v>0</v>
      </c>
      <c r="J884" s="13">
        <v>0</v>
      </c>
      <c r="K884" s="13">
        <v>1</v>
      </c>
      <c r="L884" s="13">
        <v>0</v>
      </c>
      <c r="M884" s="13">
        <v>-1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-1</v>
      </c>
    </row>
    <row r="885" spans="1:45" ht="23" customHeight="1">
      <c r="A885" s="13" t="s">
        <v>1846</v>
      </c>
      <c r="B885" s="13" t="s">
        <v>1847</v>
      </c>
      <c r="C885" s="13" t="s">
        <v>2335</v>
      </c>
      <c r="D885" s="13">
        <v>0</v>
      </c>
      <c r="E885" s="13">
        <v>0</v>
      </c>
      <c r="F885" s="13">
        <v>1</v>
      </c>
      <c r="G885" s="13">
        <v>0</v>
      </c>
      <c r="H885" s="13">
        <v>-1</v>
      </c>
      <c r="I885" s="13">
        <v>0</v>
      </c>
      <c r="J885" s="13">
        <v>1</v>
      </c>
      <c r="K885" s="13">
        <v>1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-1</v>
      </c>
    </row>
    <row r="886" spans="1:45" ht="23" customHeight="1">
      <c r="A886" s="13" t="s">
        <v>1848</v>
      </c>
      <c r="B886" s="13" t="s">
        <v>1849</v>
      </c>
      <c r="C886" s="13" t="s">
        <v>2336</v>
      </c>
      <c r="D886" s="13">
        <v>0</v>
      </c>
      <c r="E886" s="13">
        <v>6</v>
      </c>
      <c r="F886" s="13">
        <v>11</v>
      </c>
      <c r="G886" s="13">
        <v>0</v>
      </c>
      <c r="H886" s="13">
        <v>-5</v>
      </c>
      <c r="I886" s="13">
        <v>-165</v>
      </c>
      <c r="J886" s="13">
        <v>6</v>
      </c>
      <c r="K886" s="13">
        <v>10</v>
      </c>
      <c r="L886" s="13">
        <v>0</v>
      </c>
      <c r="M886" s="13">
        <v>-4</v>
      </c>
      <c r="N886" s="13">
        <v>-233</v>
      </c>
      <c r="O886" s="13">
        <v>0</v>
      </c>
      <c r="P886" s="13">
        <v>1</v>
      </c>
      <c r="Q886" s="13">
        <v>0</v>
      </c>
      <c r="R886" s="13">
        <v>-1</v>
      </c>
      <c r="S886" s="13">
        <v>-4</v>
      </c>
      <c r="T886" s="13">
        <v>1</v>
      </c>
      <c r="U886" s="13">
        <v>2</v>
      </c>
      <c r="V886" s="13">
        <v>0</v>
      </c>
      <c r="W886" s="13">
        <v>-1</v>
      </c>
      <c r="X886" s="13">
        <v>-10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2</v>
      </c>
      <c r="AO886" s="13">
        <v>7</v>
      </c>
      <c r="AP886" s="13">
        <v>0</v>
      </c>
      <c r="AQ886" s="13">
        <v>-5</v>
      </c>
      <c r="AR886" s="13">
        <v>-47</v>
      </c>
      <c r="AS886" s="13">
        <v>-16</v>
      </c>
    </row>
    <row r="887" spans="1:45" ht="23" customHeight="1">
      <c r="A887" s="13" t="s">
        <v>1851</v>
      </c>
      <c r="B887" s="13" t="s">
        <v>1852</v>
      </c>
      <c r="C887" s="13"/>
      <c r="D887" s="13">
        <v>0</v>
      </c>
      <c r="E887" s="13">
        <v>1</v>
      </c>
      <c r="F887" s="13">
        <v>2</v>
      </c>
      <c r="G887" s="13">
        <v>0</v>
      </c>
      <c r="H887" s="13">
        <v>-1</v>
      </c>
      <c r="I887" s="13">
        <v>-1</v>
      </c>
      <c r="J887" s="13">
        <v>0</v>
      </c>
      <c r="K887" s="13">
        <v>1</v>
      </c>
      <c r="L887" s="13">
        <v>0</v>
      </c>
      <c r="M887" s="13">
        <v>-1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-1</v>
      </c>
    </row>
    <row r="888" spans="1:45" ht="23" customHeight="1">
      <c r="A888" s="13" t="s">
        <v>1853</v>
      </c>
      <c r="B888" s="13" t="s">
        <v>1852</v>
      </c>
      <c r="C888" s="13"/>
      <c r="D888" s="13">
        <v>0</v>
      </c>
      <c r="E888" s="13">
        <v>1</v>
      </c>
      <c r="F888" s="13">
        <v>2</v>
      </c>
      <c r="G888" s="13">
        <v>0</v>
      </c>
      <c r="H888" s="13">
        <v>-1</v>
      </c>
      <c r="I888" s="13">
        <v>-1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-1</v>
      </c>
    </row>
    <row r="889" spans="1:45" ht="23" customHeight="1">
      <c r="A889" s="13" t="s">
        <v>1854</v>
      </c>
      <c r="B889" s="13" t="s">
        <v>1855</v>
      </c>
      <c r="C889" s="13"/>
      <c r="D889" s="13">
        <v>2</v>
      </c>
      <c r="E889" s="13">
        <v>1</v>
      </c>
      <c r="F889" s="13">
        <v>2</v>
      </c>
      <c r="G889" s="13">
        <v>0</v>
      </c>
      <c r="H889" s="13">
        <v>-1</v>
      </c>
      <c r="I889" s="13">
        <v>-6</v>
      </c>
      <c r="J889" s="13">
        <v>1</v>
      </c>
      <c r="K889" s="13">
        <v>1</v>
      </c>
      <c r="L889" s="13">
        <v>0</v>
      </c>
      <c r="M889" s="13">
        <v>0</v>
      </c>
      <c r="N889" s="13">
        <v>-1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-1</v>
      </c>
    </row>
    <row r="890" spans="1:45" ht="23" customHeight="1">
      <c r="A890" s="13" t="s">
        <v>1856</v>
      </c>
      <c r="B890" s="13" t="s">
        <v>1855</v>
      </c>
      <c r="C890" s="13" t="s">
        <v>2337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1</v>
      </c>
      <c r="K890" s="13">
        <v>1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</row>
    <row r="891" spans="1:45" ht="23" customHeight="1">
      <c r="A891" s="13" t="s">
        <v>1857</v>
      </c>
      <c r="B891" s="13" t="s">
        <v>1858</v>
      </c>
      <c r="C891" s="13"/>
      <c r="D891" s="13">
        <v>0</v>
      </c>
      <c r="E891" s="13">
        <v>1</v>
      </c>
      <c r="F891" s="13">
        <v>1</v>
      </c>
      <c r="G891" s="13">
        <v>0</v>
      </c>
      <c r="H891" s="13">
        <v>0</v>
      </c>
      <c r="I891" s="13">
        <v>-1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</row>
    <row r="892" spans="1:45" ht="23" customHeight="1">
      <c r="A892" s="13" t="s">
        <v>1859</v>
      </c>
      <c r="B892" s="13" t="s">
        <v>1860</v>
      </c>
      <c r="C892" s="13" t="s">
        <v>2338</v>
      </c>
      <c r="D892" s="13">
        <v>0</v>
      </c>
      <c r="E892" s="13">
        <v>1</v>
      </c>
      <c r="F892" s="13">
        <v>2</v>
      </c>
      <c r="G892" s="13">
        <v>0</v>
      </c>
      <c r="H892" s="13">
        <v>-1</v>
      </c>
      <c r="I892" s="13">
        <v>-1</v>
      </c>
      <c r="J892" s="13">
        <v>0</v>
      </c>
      <c r="K892" s="13">
        <v>2</v>
      </c>
      <c r="L892" s="13">
        <v>0</v>
      </c>
      <c r="M892" s="13">
        <v>-2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-3</v>
      </c>
    </row>
    <row r="893" spans="1:45" ht="23" customHeight="1">
      <c r="A893" s="13" t="s">
        <v>1861</v>
      </c>
      <c r="B893" s="13" t="s">
        <v>1862</v>
      </c>
      <c r="C893" s="13"/>
      <c r="D893" s="13">
        <v>0</v>
      </c>
      <c r="E893" s="13">
        <v>0</v>
      </c>
      <c r="F893" s="13">
        <v>1</v>
      </c>
      <c r="G893" s="13">
        <v>0</v>
      </c>
      <c r="H893" s="13">
        <v>-1</v>
      </c>
      <c r="I893" s="13">
        <v>0</v>
      </c>
      <c r="J893" s="13">
        <v>1</v>
      </c>
      <c r="K893" s="13">
        <v>1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-1</v>
      </c>
    </row>
    <row r="894" spans="1:45" ht="23" customHeight="1">
      <c r="A894" s="13" t="s">
        <v>1863</v>
      </c>
      <c r="B894" s="13" t="s">
        <v>1864</v>
      </c>
      <c r="C894" s="13"/>
      <c r="D894" s="13">
        <v>0</v>
      </c>
      <c r="E894" s="13">
        <v>1</v>
      </c>
      <c r="F894" s="13">
        <v>4</v>
      </c>
      <c r="G894" s="13">
        <v>0</v>
      </c>
      <c r="H894" s="13">
        <v>-3</v>
      </c>
      <c r="I894" s="13">
        <v>-1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-3</v>
      </c>
    </row>
    <row r="895" spans="1:45" ht="23" customHeight="1">
      <c r="A895" s="13" t="s">
        <v>1865</v>
      </c>
      <c r="B895" s="13" t="s">
        <v>1866</v>
      </c>
      <c r="C895" s="13"/>
      <c r="D895" s="13">
        <v>0</v>
      </c>
      <c r="E895" s="13">
        <v>1</v>
      </c>
      <c r="F895" s="13">
        <v>3</v>
      </c>
      <c r="G895" s="13">
        <v>0</v>
      </c>
      <c r="H895" s="13">
        <v>-2</v>
      </c>
      <c r="I895" s="13">
        <v>-1</v>
      </c>
      <c r="J895" s="13">
        <v>1</v>
      </c>
      <c r="K895" s="13">
        <v>1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-2</v>
      </c>
    </row>
    <row r="896" spans="1:45" ht="34" customHeight="1">
      <c r="A896" s="13" t="s">
        <v>1867</v>
      </c>
      <c r="B896" s="13" t="s">
        <v>1868</v>
      </c>
      <c r="C896" s="13"/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1</v>
      </c>
      <c r="K896" s="13">
        <v>1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</row>
    <row r="897" spans="1:45" ht="34" customHeight="1">
      <c r="A897" s="13" t="s">
        <v>1869</v>
      </c>
      <c r="B897" s="13" t="s">
        <v>1868</v>
      </c>
      <c r="C897" s="13"/>
      <c r="D897" s="13">
        <v>0</v>
      </c>
      <c r="E897" s="13">
        <v>1</v>
      </c>
      <c r="F897" s="13">
        <v>1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0</v>
      </c>
      <c r="AQ897" s="13">
        <v>0</v>
      </c>
      <c r="AR897" s="13">
        <v>0</v>
      </c>
      <c r="AS897" s="14">
        <v>1</v>
      </c>
    </row>
    <row r="898" spans="1:45" ht="23" customHeight="1">
      <c r="A898" s="13" t="s">
        <v>1870</v>
      </c>
      <c r="B898" s="13" t="s">
        <v>1871</v>
      </c>
      <c r="C898" s="13"/>
      <c r="D898" s="13">
        <v>0</v>
      </c>
      <c r="E898" s="13">
        <v>1</v>
      </c>
      <c r="F898" s="13">
        <v>1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</row>
    <row r="899" spans="1:45" ht="23" customHeight="1">
      <c r="A899" s="13" t="s">
        <v>1872</v>
      </c>
      <c r="B899" s="13" t="s">
        <v>1873</v>
      </c>
      <c r="C899" s="13" t="s">
        <v>2339</v>
      </c>
      <c r="D899" s="13">
        <v>1</v>
      </c>
      <c r="E899" s="13">
        <v>0</v>
      </c>
      <c r="F899" s="13">
        <v>4</v>
      </c>
      <c r="G899" s="13">
        <v>0</v>
      </c>
      <c r="H899" s="13">
        <v>-4</v>
      </c>
      <c r="I899" s="13">
        <v>-2</v>
      </c>
      <c r="J899" s="13">
        <v>1</v>
      </c>
      <c r="K899" s="13">
        <v>1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-4</v>
      </c>
    </row>
    <row r="900" spans="1:45" ht="34" customHeight="1">
      <c r="A900" s="13" t="s">
        <v>1874</v>
      </c>
      <c r="B900" s="13" t="s">
        <v>1875</v>
      </c>
      <c r="C900" s="13" t="s">
        <v>2340</v>
      </c>
      <c r="D900" s="13">
        <v>1</v>
      </c>
      <c r="E900" s="13">
        <v>0</v>
      </c>
      <c r="F900" s="13">
        <v>0</v>
      </c>
      <c r="G900" s="13">
        <v>0</v>
      </c>
      <c r="H900" s="13">
        <v>0</v>
      </c>
      <c r="I900" s="13">
        <v>-1</v>
      </c>
      <c r="J900" s="13">
        <v>1</v>
      </c>
      <c r="K900" s="13">
        <v>1</v>
      </c>
      <c r="L900" s="13">
        <v>0</v>
      </c>
      <c r="M900" s="13">
        <v>0</v>
      </c>
      <c r="N900" s="13">
        <v>-2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-1</v>
      </c>
      <c r="AS900" s="13">
        <v>0</v>
      </c>
    </row>
    <row r="901" spans="1:45" ht="34" customHeight="1">
      <c r="A901" s="13" t="s">
        <v>1876</v>
      </c>
      <c r="B901" s="13" t="s">
        <v>1875</v>
      </c>
      <c r="C901" s="13"/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1</v>
      </c>
      <c r="K901" s="13">
        <v>1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</row>
    <row r="902" spans="1:45" ht="23" customHeight="1">
      <c r="A902" s="13" t="s">
        <v>1877</v>
      </c>
      <c r="B902" s="13" t="s">
        <v>1878</v>
      </c>
      <c r="C902" s="13"/>
      <c r="D902" s="13">
        <v>0</v>
      </c>
      <c r="E902" s="13">
        <v>1</v>
      </c>
      <c r="F902" s="13">
        <v>1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</row>
    <row r="903" spans="1:45" ht="23" customHeight="1">
      <c r="A903" s="13" t="s">
        <v>1879</v>
      </c>
      <c r="B903" s="13" t="s">
        <v>1878</v>
      </c>
      <c r="C903" s="13"/>
      <c r="D903" s="13">
        <v>0</v>
      </c>
      <c r="E903" s="13">
        <v>1</v>
      </c>
      <c r="F903" s="13">
        <v>1</v>
      </c>
      <c r="G903" s="13">
        <v>0</v>
      </c>
      <c r="H903" s="13">
        <v>0</v>
      </c>
      <c r="I903" s="13">
        <v>0</v>
      </c>
      <c r="J903" s="13">
        <v>1</v>
      </c>
      <c r="K903" s="13">
        <v>1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</row>
    <row r="904" spans="1:45" ht="23" customHeight="1">
      <c r="A904" s="13" t="s">
        <v>1881</v>
      </c>
      <c r="B904" s="13" t="s">
        <v>1878</v>
      </c>
      <c r="C904" s="13"/>
      <c r="D904" s="13">
        <v>0</v>
      </c>
      <c r="E904" s="13">
        <v>1</v>
      </c>
      <c r="F904" s="13">
        <v>12</v>
      </c>
      <c r="G904" s="13">
        <v>0</v>
      </c>
      <c r="H904" s="13">
        <v>-11</v>
      </c>
      <c r="I904" s="13">
        <v>-13</v>
      </c>
      <c r="J904" s="13">
        <v>1</v>
      </c>
      <c r="K904" s="13">
        <v>2</v>
      </c>
      <c r="L904" s="13">
        <v>0</v>
      </c>
      <c r="M904" s="13">
        <v>-1</v>
      </c>
      <c r="N904" s="13">
        <v>-2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-12</v>
      </c>
    </row>
    <row r="905" spans="1:45" ht="23" customHeight="1">
      <c r="A905" s="13" t="s">
        <v>1882</v>
      </c>
      <c r="B905" s="13" t="s">
        <v>1878</v>
      </c>
      <c r="C905" s="13"/>
      <c r="D905" s="13">
        <v>0</v>
      </c>
      <c r="E905" s="13">
        <v>1</v>
      </c>
      <c r="F905" s="13">
        <v>4</v>
      </c>
      <c r="G905" s="13">
        <v>0</v>
      </c>
      <c r="H905" s="13">
        <v>-3</v>
      </c>
      <c r="I905" s="13">
        <v>-3</v>
      </c>
      <c r="J905" s="13">
        <v>0</v>
      </c>
      <c r="K905" s="13">
        <v>1</v>
      </c>
      <c r="L905" s="13">
        <v>0</v>
      </c>
      <c r="M905" s="13">
        <v>-1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-4</v>
      </c>
    </row>
    <row r="906" spans="1:45" ht="23" customHeight="1">
      <c r="A906" s="13" t="s">
        <v>1883</v>
      </c>
      <c r="B906" s="13" t="s">
        <v>1884</v>
      </c>
      <c r="C906" s="13" t="s">
        <v>2341</v>
      </c>
      <c r="D906" s="13">
        <v>0</v>
      </c>
      <c r="E906" s="13">
        <v>6</v>
      </c>
      <c r="F906" s="13">
        <v>4</v>
      </c>
      <c r="G906" s="13">
        <v>0</v>
      </c>
      <c r="H906" s="14">
        <v>2</v>
      </c>
      <c r="I906" s="13">
        <v>-1</v>
      </c>
      <c r="J906" s="13">
        <v>2</v>
      </c>
      <c r="K906" s="13">
        <v>3</v>
      </c>
      <c r="L906" s="13">
        <v>0</v>
      </c>
      <c r="M906" s="13">
        <v>-1</v>
      </c>
      <c r="N906" s="13">
        <v>-3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4">
        <v>1</v>
      </c>
    </row>
    <row r="907" spans="1:45" ht="23" customHeight="1">
      <c r="A907" s="13" t="s">
        <v>1886</v>
      </c>
      <c r="B907" s="13" t="s">
        <v>1884</v>
      </c>
      <c r="C907" s="13"/>
      <c r="D907" s="13">
        <v>0</v>
      </c>
      <c r="E907" s="13">
        <v>1</v>
      </c>
      <c r="F907" s="13">
        <v>4</v>
      </c>
      <c r="G907" s="13">
        <v>0</v>
      </c>
      <c r="H907" s="13">
        <v>-3</v>
      </c>
      <c r="I907" s="13">
        <v>0</v>
      </c>
      <c r="J907" s="13">
        <v>0</v>
      </c>
      <c r="K907" s="13">
        <v>4</v>
      </c>
      <c r="L907" s="13">
        <v>0</v>
      </c>
      <c r="M907" s="13">
        <v>-4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-7</v>
      </c>
    </row>
    <row r="908" spans="1:45" ht="23" customHeight="1">
      <c r="A908" s="13" t="s">
        <v>1887</v>
      </c>
      <c r="B908" s="13" t="s">
        <v>1884</v>
      </c>
      <c r="C908" s="13"/>
      <c r="D908" s="13">
        <v>0</v>
      </c>
      <c r="E908" s="13">
        <v>1</v>
      </c>
      <c r="F908" s="13">
        <v>7</v>
      </c>
      <c r="G908" s="13">
        <v>0</v>
      </c>
      <c r="H908" s="13">
        <v>-6</v>
      </c>
      <c r="I908" s="13">
        <v>0</v>
      </c>
      <c r="J908" s="13">
        <v>0</v>
      </c>
      <c r="K908" s="13">
        <v>3</v>
      </c>
      <c r="L908" s="13">
        <v>0</v>
      </c>
      <c r="M908" s="13">
        <v>-3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-8</v>
      </c>
    </row>
    <row r="909" spans="1:45" ht="23" customHeight="1">
      <c r="A909" s="13" t="s">
        <v>1888</v>
      </c>
      <c r="B909" s="13" t="s">
        <v>1889</v>
      </c>
      <c r="C909" s="13"/>
      <c r="D909" s="13">
        <v>0</v>
      </c>
      <c r="E909" s="13">
        <v>2</v>
      </c>
      <c r="F909" s="13">
        <v>4</v>
      </c>
      <c r="G909" s="13">
        <v>0</v>
      </c>
      <c r="H909" s="13">
        <v>-2</v>
      </c>
      <c r="I909" s="13">
        <v>-2</v>
      </c>
      <c r="J909" s="13">
        <v>2</v>
      </c>
      <c r="K909" s="13">
        <v>2</v>
      </c>
      <c r="L909" s="13">
        <v>0</v>
      </c>
      <c r="M909" s="13">
        <v>0</v>
      </c>
      <c r="N909" s="13">
        <v>-4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-2</v>
      </c>
    </row>
    <row r="910" spans="1:45" ht="34" customHeight="1">
      <c r="A910" s="13" t="s">
        <v>1890</v>
      </c>
      <c r="B910" s="13" t="s">
        <v>1891</v>
      </c>
      <c r="C910" s="13"/>
      <c r="D910" s="13">
        <v>0</v>
      </c>
      <c r="E910" s="13">
        <v>1</v>
      </c>
      <c r="F910" s="13">
        <v>17</v>
      </c>
      <c r="G910" s="13">
        <v>0</v>
      </c>
      <c r="H910" s="13">
        <v>-16</v>
      </c>
      <c r="I910" s="13">
        <v>-4</v>
      </c>
      <c r="J910" s="13">
        <v>4</v>
      </c>
      <c r="K910" s="13">
        <v>4</v>
      </c>
      <c r="L910" s="13">
        <v>0</v>
      </c>
      <c r="M910" s="13">
        <v>0</v>
      </c>
      <c r="N910" s="13">
        <v>-4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-16</v>
      </c>
    </row>
    <row r="911" spans="1:45" ht="34" customHeight="1">
      <c r="A911" s="13" t="s">
        <v>1892</v>
      </c>
      <c r="B911" s="13" t="s">
        <v>1893</v>
      </c>
      <c r="C911" s="13"/>
      <c r="D911" s="13">
        <v>0</v>
      </c>
      <c r="E911" s="13">
        <v>0</v>
      </c>
      <c r="F911" s="13">
        <v>5</v>
      </c>
      <c r="G911" s="13">
        <v>0</v>
      </c>
      <c r="H911" s="13">
        <v>-5</v>
      </c>
      <c r="I911" s="13">
        <v>0</v>
      </c>
      <c r="J911" s="13">
        <v>1</v>
      </c>
      <c r="K911" s="13">
        <v>1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-5</v>
      </c>
    </row>
    <row r="912" spans="1:45" ht="23" customHeight="1">
      <c r="A912" s="13" t="s">
        <v>1894</v>
      </c>
      <c r="B912" s="13" t="s">
        <v>1895</v>
      </c>
      <c r="C912" s="13" t="s">
        <v>2342</v>
      </c>
      <c r="D912" s="13">
        <v>14</v>
      </c>
      <c r="E912" s="13">
        <v>2</v>
      </c>
      <c r="F912" s="13">
        <v>0</v>
      </c>
      <c r="G912" s="13">
        <v>0</v>
      </c>
      <c r="H912" s="14">
        <v>2</v>
      </c>
      <c r="I912" s="13">
        <v>-8</v>
      </c>
      <c r="J912" s="13">
        <v>2</v>
      </c>
      <c r="K912" s="13">
        <v>0</v>
      </c>
      <c r="L912" s="13">
        <v>0</v>
      </c>
      <c r="M912" s="14">
        <v>2</v>
      </c>
      <c r="N912" s="13">
        <v>-1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4">
        <v>4</v>
      </c>
    </row>
    <row r="913" spans="1:45" ht="20" customHeight="1">
      <c r="A913" s="13" t="s">
        <v>1896</v>
      </c>
      <c r="B913" s="13" t="s">
        <v>221</v>
      </c>
      <c r="C913" s="13"/>
      <c r="D913" s="13">
        <v>0</v>
      </c>
      <c r="E913" s="13">
        <v>1</v>
      </c>
      <c r="F913" s="13">
        <v>9</v>
      </c>
      <c r="G913" s="13">
        <v>0</v>
      </c>
      <c r="H913" s="13">
        <v>-8</v>
      </c>
      <c r="I913" s="13">
        <v>0</v>
      </c>
      <c r="J913" s="13">
        <v>1</v>
      </c>
      <c r="K913" s="13">
        <v>1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13">
        <v>0</v>
      </c>
      <c r="AP913" s="13">
        <v>0</v>
      </c>
      <c r="AQ913" s="13">
        <v>0</v>
      </c>
      <c r="AR913" s="13">
        <v>0</v>
      </c>
      <c r="AS913" s="13">
        <v>-8</v>
      </c>
    </row>
    <row r="914" spans="1:45" ht="23" customHeight="1">
      <c r="A914" s="13" t="s">
        <v>1897</v>
      </c>
      <c r="B914" s="13" t="s">
        <v>1898</v>
      </c>
      <c r="C914" s="13"/>
      <c r="D914" s="13">
        <v>0</v>
      </c>
      <c r="E914" s="13">
        <v>1</v>
      </c>
      <c r="F914" s="13">
        <v>2</v>
      </c>
      <c r="G914" s="13">
        <v>0</v>
      </c>
      <c r="H914" s="13">
        <v>-1</v>
      </c>
      <c r="I914" s="13">
        <v>-1</v>
      </c>
      <c r="J914" s="13">
        <v>0</v>
      </c>
      <c r="K914" s="13">
        <v>3</v>
      </c>
      <c r="L914" s="13">
        <v>0</v>
      </c>
      <c r="M914" s="13">
        <v>-3</v>
      </c>
      <c r="N914" s="13">
        <v>-3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0</v>
      </c>
      <c r="AQ914" s="13">
        <v>0</v>
      </c>
      <c r="AR914" s="13">
        <v>0</v>
      </c>
      <c r="AS914" s="13">
        <v>-4</v>
      </c>
    </row>
  </sheetData>
  <mergeCells count="1">
    <mergeCell ref="A1:AS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HBS_AMOS</vt:lpstr>
      <vt:lpstr>HBS_Distribution</vt:lpstr>
      <vt:lpstr>JR_PAGE_ANCHOR_0_1</vt:lpstr>
      <vt:lpstr>JR_PAGE_ANCHOR_0_2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2026-05-12T14:12:56Z</dcterms:created>
  <dcterms:modified xsi:type="dcterms:W3CDTF">2026-05-12T14:12:56Z</dcterms:modified>
</cp:coreProperties>
</file>